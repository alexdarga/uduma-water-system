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Mr ALEX\OneDrive\Bureau\Candidature\UDUMA\"/>
    </mc:Choice>
  </mc:AlternateContent>
  <xr:revisionPtr revIDLastSave="0" documentId="13_ncr:1_{F3A7E923-6193-479E-8E3D-DE0339535CB5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readings" sheetId="1" r:id="rId1"/>
    <sheet name="Feuil1" sheetId="2" r:id="rId2"/>
    <sheet name="Feuil3" sheetId="5" r:id="rId3"/>
  </sheets>
  <definedNames>
    <definedName name="_xlnm._FilterDatabase" localSheetId="0" hidden="1">readings!$A$1:$N$106</definedName>
  </definedNames>
  <calcPr calcId="191029"/>
  <pivotCaches>
    <pivotCache cacheId="2" r:id="rId4"/>
    <pivotCache cacheId="3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2" l="1"/>
  <c r="G10" i="2"/>
</calcChain>
</file>

<file path=xl/sharedStrings.xml><?xml version="1.0" encoding="utf-8"?>
<sst xmlns="http://schemas.openxmlformats.org/spreadsheetml/2006/main" count="1050" uniqueCount="123">
  <si>
    <t>point_name</t>
  </si>
  <si>
    <t>commune</t>
  </si>
  <si>
    <t>village</t>
  </si>
  <si>
    <t>latitude</t>
  </si>
  <si>
    <t>longitude</t>
  </si>
  <si>
    <t>installation_date</t>
  </si>
  <si>
    <t>meter_type</t>
  </si>
  <si>
    <t>connection_type</t>
  </si>
  <si>
    <t>status</t>
  </si>
  <si>
    <t>reading_date</t>
  </si>
  <si>
    <t>meter_index</t>
  </si>
  <si>
    <t>revenue_fcfa</t>
  </si>
  <si>
    <t>recorded_by</t>
  </si>
  <si>
    <t>notes</t>
  </si>
  <si>
    <t>Borne Fontaine Sikasso Centre</t>
  </si>
  <si>
    <t>Sikasso</t>
  </si>
  <si>
    <t>11.3176</t>
  </si>
  <si>
    <t>-5.6756</t>
  </si>
  <si>
    <t>Mechanical</t>
  </si>
  <si>
    <t>Borne Fontaine</t>
  </si>
  <si>
    <t>active</t>
  </si>
  <si>
    <t>Amadou Traoré</t>
  </si>
  <si>
    <t>Connexion Privée Kaboila 1</t>
  </si>
  <si>
    <t>Kaboila</t>
  </si>
  <si>
    <t>11.2845</t>
  </si>
  <si>
    <t>-5.7123</t>
  </si>
  <si>
    <t>Digital</t>
  </si>
  <si>
    <t>Connexion Privée</t>
  </si>
  <si>
    <t>Fatoumata Keita</t>
  </si>
  <si>
    <t>Borne Fontaine Pimperna</t>
  </si>
  <si>
    <t>Pimperna</t>
  </si>
  <si>
    <t>11.4012</t>
  </si>
  <si>
    <t>-5.5234</t>
  </si>
  <si>
    <t>Smart</t>
  </si>
  <si>
    <t>Seydou Diarra</t>
  </si>
  <si>
    <t>maintenance</t>
  </si>
  <si>
    <t>Pompe en panne</t>
  </si>
  <si>
    <t>Réparation partielle</t>
  </si>
  <si>
    <t>Remis en service</t>
  </si>
  <si>
    <t>Connexion Privée Finkolo 2</t>
  </si>
  <si>
    <t>Finkolo</t>
  </si>
  <si>
    <t>Finkolo Gare</t>
  </si>
  <si>
    <t>11.2567</t>
  </si>
  <si>
    <t>-5.8901</t>
  </si>
  <si>
    <t>Sekou Coulibaly</t>
  </si>
  <si>
    <t>Borne Fontaine Blendio</t>
  </si>
  <si>
    <t>Blendio</t>
  </si>
  <si>
    <t>Blendio Centre</t>
  </si>
  <si>
    <t>11.3789</t>
  </si>
  <si>
    <t>-5.4567</t>
  </si>
  <si>
    <t>inactive</t>
  </si>
  <si>
    <t>Mariam Sidibé</t>
  </si>
  <si>
    <t>Hors service</t>
  </si>
  <si>
    <t>Test maintenance</t>
  </si>
  <si>
    <t>Connexion Privée Yanfolila 3</t>
  </si>
  <si>
    <t>Yanfolila</t>
  </si>
  <si>
    <t>11.1667</t>
  </si>
  <si>
    <t>-8.1333</t>
  </si>
  <si>
    <t>Ibrahim Cissé</t>
  </si>
  <si>
    <t>Borne Fontaine Koutiala</t>
  </si>
  <si>
    <t>Koutiala</t>
  </si>
  <si>
    <t>Koutiala Centre</t>
  </si>
  <si>
    <t>12.3833</t>
  </si>
  <si>
    <t>-5.4667</t>
  </si>
  <si>
    <t>Aicha Doumbia</t>
  </si>
  <si>
    <t>Connexion Privée Garalo 4</t>
  </si>
  <si>
    <t>Garalo</t>
  </si>
  <si>
    <t>11.5667</t>
  </si>
  <si>
    <t>-6.1833</t>
  </si>
  <si>
    <t>Moussa Diakité</t>
  </si>
  <si>
    <t>Borne Fontaine Bougouni</t>
  </si>
  <si>
    <t>Bougouni</t>
  </si>
  <si>
    <t>11.4167</t>
  </si>
  <si>
    <t>-7.4833</t>
  </si>
  <si>
    <t>Aminata Camara</t>
  </si>
  <si>
    <t>Borne Fontaine Kolondieba</t>
  </si>
  <si>
    <t>Kolondieba</t>
  </si>
  <si>
    <t>11.0833</t>
  </si>
  <si>
    <t>-6.9</t>
  </si>
  <si>
    <t>Bakary Sanogo</t>
  </si>
  <si>
    <t>Connexion Privée Wassoulou 5</t>
  </si>
  <si>
    <t>Wassoulou</t>
  </si>
  <si>
    <t>Wassoulou Village</t>
  </si>
  <si>
    <t>11.2</t>
  </si>
  <si>
    <t>-7.8</t>
  </si>
  <si>
    <t>Hawa Diallo</t>
  </si>
  <si>
    <t>Borne Fontaine Dioila</t>
  </si>
  <si>
    <t>Dioila</t>
  </si>
  <si>
    <t>Dioila Centre</t>
  </si>
  <si>
    <t>12.4833</t>
  </si>
  <si>
    <t>-6.8</t>
  </si>
  <si>
    <t>Salif Traoré</t>
  </si>
  <si>
    <t>Borne Fontaine Selingué</t>
  </si>
  <si>
    <t>Selingué</t>
  </si>
  <si>
    <t>Selingué Barrage</t>
  </si>
  <si>
    <t>11.6</t>
  </si>
  <si>
    <t>-8.3333</t>
  </si>
  <si>
    <t>Mariam Kone</t>
  </si>
  <si>
    <t>Borne Fontaine Kita</t>
  </si>
  <si>
    <t>Kita</t>
  </si>
  <si>
    <t>Kita Centre</t>
  </si>
  <si>
    <t>13.0333</t>
  </si>
  <si>
    <t>-9.4833</t>
  </si>
  <si>
    <t>Ousmane Keita</t>
  </si>
  <si>
    <t>Anomalie compteur possible</t>
  </si>
  <si>
    <t>Compteur défaillant - relevé impossible</t>
  </si>
  <si>
    <t>Borne Fontaine Mandé</t>
  </si>
  <si>
    <t>Mandé</t>
  </si>
  <si>
    <t>Mandé Village</t>
  </si>
  <si>
    <t>12.1</t>
  </si>
  <si>
    <t>-7.2</t>
  </si>
  <si>
    <t>Adama Coulibaly</t>
  </si>
  <si>
    <t xml:space="preserve"> </t>
  </si>
  <si>
    <t>Étiquettes de lignes</t>
  </si>
  <si>
    <t>Total général</t>
  </si>
  <si>
    <t>Somme de revenue_fcfa</t>
  </si>
  <si>
    <t>Étiquettes de colonnes</t>
  </si>
  <si>
    <t>Somme de meter_index</t>
  </si>
  <si>
    <t>Nombre de connection_type</t>
  </si>
  <si>
    <t>Nombre de status</t>
  </si>
  <si>
    <t>Nombre de commune</t>
  </si>
  <si>
    <t>Nombre de meter_type</t>
  </si>
  <si>
    <t>(Plusieurs éléments)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</si>
</sst>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theme="4"/>
      <name val="Arial"/>
      <family val="2"/>
      <scheme val="minor"/>
    </font>
    <font>
      <sz val="10"/>
      <color theme="5"/>
      <name val="Arial"/>
      <scheme val="minor"/>
    </font>
    <font>
      <sz val="10"/>
      <color theme="9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 applyAlignment="1"/>
    <xf numFmtId="14" fontId="0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41" fontId="0" fillId="0" borderId="0" xfId="0" applyNumberFormat="1" applyFont="1" applyAlignment="1"/>
    <xf numFmtId="0" fontId="5" fillId="0" borderId="0" xfId="0" applyFont="1" applyAlignment="1">
      <alignment horizontal="left"/>
    </xf>
    <xf numFmtId="41" fontId="5" fillId="0" borderId="0" xfId="0" applyNumberFormat="1" applyFont="1" applyAlignment="1"/>
    <xf numFmtId="41" fontId="6" fillId="0" borderId="0" xfId="0" applyNumberFormat="1" applyFont="1" applyAlignment="1"/>
    <xf numFmtId="0" fontId="7" fillId="0" borderId="0" xfId="0" applyFont="1" applyAlignment="1">
      <alignment horizontal="left"/>
    </xf>
    <xf numFmtId="41" fontId="7" fillId="0" borderId="0" xfId="0" applyNumberFormat="1" applyFont="1" applyAlignment="1"/>
    <xf numFmtId="41" fontId="8" fillId="0" borderId="0" xfId="0" applyNumberFormat="1" applyFont="1" applyAlignment="1"/>
    <xf numFmtId="41" fontId="0" fillId="2" borderId="0" xfId="0" applyNumberFormat="1" applyFont="1" applyFill="1" applyAlignment="1"/>
    <xf numFmtId="41" fontId="0" fillId="3" borderId="0" xfId="0" applyNumberFormat="1" applyFont="1" applyFill="1" applyAlignment="1"/>
  </cellXfs>
  <cellStyles count="1">
    <cellStyle name="Normal" xfId="0" builtinId="0"/>
  </cellStyles>
  <dxfs count="18">
    <dxf>
      <numFmt numFmtId="33" formatCode="_-* #,##0_-;\-* #,##0_-;_-* &quot;-&quot;_-;_-@_-"/>
    </dxf>
    <dxf>
      <font>
        <color theme="9"/>
      </font>
    </dxf>
    <dxf>
      <font>
        <color theme="9"/>
      </font>
    </dxf>
    <dxf>
      <numFmt numFmtId="33" formatCode="_-* #,##0_-;\-* #,##0_-;_-* &quot;-&quot;_-;_-@_-"/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4"/>
      </font>
    </dxf>
    <dxf>
      <font>
        <color theme="4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 ALEX" refreshedDate="45885.053527777774" createdVersion="7" refreshedVersion="7" minRefreshableVersion="3" recordCount="106" xr:uid="{B61B3DAF-D525-4346-AB9B-FD3FD05BB8B0}">
  <cacheSource type="worksheet">
    <worksheetSource ref="B1:N1048576" sheet="readings"/>
  </cacheSource>
  <cacheFields count="13">
    <cacheField name="commune" numFmtId="0">
      <sharedItems containsBlank="1" count="16">
        <s v="Sikasso"/>
        <s v="Kaboila"/>
        <s v="Pimperna"/>
        <s v="Finkolo"/>
        <s v="Blendio"/>
        <s v="Yanfolila"/>
        <s v="Koutiala"/>
        <s v="Garalo"/>
        <s v="Bougouni"/>
        <s v="Kolondieba"/>
        <s v="Wassoulou"/>
        <s v="Dioila"/>
        <s v="Selingué"/>
        <s v="Kita"/>
        <s v="Mandé"/>
        <m/>
      </sharedItems>
    </cacheField>
    <cacheField name="village" numFmtId="0">
      <sharedItems containsBlank="1" count="16">
        <s v="Sikasso"/>
        <s v="Kaboila"/>
        <s v="Pimperna"/>
        <s v="Finkolo Gare"/>
        <s v="Blendio Centre"/>
        <s v="Yanfolila"/>
        <s v="Koutiala Centre"/>
        <s v="Garalo"/>
        <s v="Bougouni"/>
        <s v="Kolondieba"/>
        <s v="Wassoulou Village"/>
        <s v="Dioila Centre"/>
        <s v="Selingué Barrage"/>
        <s v="Kita Centre"/>
        <s v="Mandé Village"/>
        <m/>
      </sharedItems>
    </cacheField>
    <cacheField name="latitude" numFmtId="0">
      <sharedItems containsBlank="1"/>
    </cacheField>
    <cacheField name="longitude" numFmtId="0">
      <sharedItems containsBlank="1"/>
    </cacheField>
    <cacheField name="installation_date" numFmtId="0">
      <sharedItems containsNonDate="0" containsDate="1" containsString="0" containsBlank="1" minDate="2020-01-15T00:00:00" maxDate="2023-09-13T00:00:00"/>
    </cacheField>
    <cacheField name="meter_type" numFmtId="0">
      <sharedItems containsBlank="1"/>
    </cacheField>
    <cacheField name="connection_type" numFmtId="0">
      <sharedItems containsBlank="1" count="3">
        <s v="Borne Fontaine"/>
        <s v="Connexion Privée"/>
        <m/>
      </sharedItems>
    </cacheField>
    <cacheField name="status" numFmtId="0">
      <sharedItems containsBlank="1" count="4">
        <s v="active"/>
        <s v="maintenance"/>
        <s v="inactive"/>
        <m/>
      </sharedItems>
    </cacheField>
    <cacheField name="reading_date" numFmtId="0">
      <sharedItems containsNonDate="0" containsDate="1" containsString="0" containsBlank="1" minDate="2024-01-03T00:00:00" maxDate="2024-07-31T00:00:00"/>
    </cacheField>
    <cacheField name="meter_index" numFmtId="0">
      <sharedItems containsString="0" containsBlank="1" containsNumber="1" containsInteger="1" minValue="12980" maxValue="47969" count="100">
        <n v="47850"/>
        <n v="47869"/>
        <n v="47889"/>
        <n v="47908"/>
        <n v="47930"/>
        <n v="47948"/>
        <n v="47969"/>
        <n v="33980"/>
        <n v="33985"/>
        <n v="33991"/>
        <n v="33996"/>
        <n v="34002"/>
        <n v="34007"/>
        <n v="34013"/>
        <n v="15890"/>
        <n v="15917"/>
        <n v="15946"/>
        <n v="15948"/>
        <n v="15984"/>
        <n v="16013"/>
        <n v="30690"/>
        <n v="30696"/>
        <n v="30703"/>
        <n v="30709"/>
        <n v="30716"/>
        <n v="30722"/>
        <n v="30729"/>
        <n v="18950"/>
        <n v="18952"/>
        <n v="23650"/>
        <n v="23655"/>
        <n v="23661"/>
        <n v="23666"/>
        <n v="23672"/>
        <n v="23676"/>
        <n v="23682"/>
        <n v="16420"/>
        <n v="16456"/>
        <n v="16494"/>
        <n v="16530"/>
        <n v="16568"/>
        <n v="16604"/>
        <n v="16642"/>
        <n v="36850"/>
        <n v="36854"/>
        <n v="36859"/>
        <n v="36863"/>
        <n v="36868"/>
        <n v="36872"/>
        <n v="36877"/>
        <n v="12980"/>
        <n v="13028"/>
        <n v="13078"/>
        <n v="13126"/>
        <n v="13176"/>
        <n v="13224"/>
        <n v="13274"/>
        <n v="21750"/>
        <n v="21766"/>
        <n v="21784"/>
        <n v="21800"/>
        <n v="21818"/>
        <n v="21834"/>
        <n v="21852"/>
        <n v="27920"/>
        <n v="27923"/>
        <n v="27927"/>
        <n v="27930"/>
        <n v="27934"/>
        <n v="27937"/>
        <n v="27941"/>
        <n v="14250"/>
        <n v="14294"/>
        <n v="14341"/>
        <n v="14385"/>
        <n v="14432"/>
        <n v="14476"/>
        <n v="14523"/>
        <n v="45120"/>
        <n v="45142"/>
        <n v="45166"/>
        <n v="45188"/>
        <n v="45212"/>
        <n v="45228"/>
        <n v="45252"/>
        <n v="24620"/>
        <n v="24653"/>
        <n v="24687"/>
        <n v="24720"/>
        <n v="24754"/>
        <n v="24787"/>
        <n v="24750"/>
        <n v="33180"/>
        <n v="33198"/>
        <n v="33218"/>
        <n v="33236"/>
        <n v="33256"/>
        <n v="33274"/>
        <n v="33294"/>
        <m/>
      </sharedItems>
    </cacheField>
    <cacheField name="revenue_fcfa" numFmtId="0">
      <sharedItems containsString="0" containsBlank="1" containsNumber="1" containsInteger="1" minValue="-8500" maxValue="25000" count="26">
        <n v="9500"/>
        <n v="10000"/>
        <n v="11000"/>
        <n v="9000"/>
        <n v="10500"/>
        <n v="2500"/>
        <n v="3000"/>
        <n v="13500"/>
        <n v="14500"/>
        <n v="0"/>
        <n v="1000"/>
        <n v="18000"/>
        <n v="3500"/>
        <n v="2000"/>
        <n v="19000"/>
        <n v="24000"/>
        <n v="25000"/>
        <n v="8000"/>
        <n v="1500"/>
        <n v="22000"/>
        <n v="23500"/>
        <n v="12000"/>
        <n v="16500"/>
        <n v="17000"/>
        <n v="-8500"/>
        <m/>
      </sharedItems>
    </cacheField>
    <cacheField name="recorded_by" numFmtId="0">
      <sharedItems containsBlank="1" count="16">
        <s v="Amadou Traoré"/>
        <s v="Fatoumata Keita"/>
        <s v="Seydou Diarra"/>
        <s v="Sekou Coulibaly"/>
        <s v="Mariam Sidibé"/>
        <s v="Ibrahim Cissé"/>
        <s v="Aicha Doumbia"/>
        <s v="Moussa Diakité"/>
        <s v="Aminata Camara"/>
        <s v="Bakary Sanogo"/>
        <s v="Hawa Diallo"/>
        <s v="Salif Traoré"/>
        <s v="Mariam Kone"/>
        <s v="Ousmane Keita"/>
        <s v="Adama Coulibaly"/>
        <m/>
      </sharedItems>
    </cacheField>
    <cacheField name="notes" numFmtId="0">
      <sharedItems containsBlank="1" count="9">
        <m/>
        <s v=" "/>
        <s v="Pompe en panne"/>
        <s v="Réparation partielle"/>
        <s v="Remis en service"/>
        <s v="Hors service"/>
        <s v="Test maintenance"/>
        <s v="Anomalie compteur possible"/>
        <s v="Compteur défaillant - relevé impossib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 ALEX" refreshedDate="45885.07495185185" createdVersion="7" refreshedVersion="7" minRefreshableVersion="3" recordCount="105" xr:uid="{3B9CC76A-0CEB-4E4E-8B69-7420CAA145FD}">
  <cacheSource type="worksheet">
    <worksheetSource ref="A1:N106" sheet="readings"/>
  </cacheSource>
  <cacheFields count="14">
    <cacheField name="point_name" numFmtId="0">
      <sharedItems/>
    </cacheField>
    <cacheField name="commune" numFmtId="0">
      <sharedItems/>
    </cacheField>
    <cacheField name="village" numFmtId="0">
      <sharedItems/>
    </cacheField>
    <cacheField name="latitude" numFmtId="0">
      <sharedItems/>
    </cacheField>
    <cacheField name="longitude" numFmtId="0">
      <sharedItems/>
    </cacheField>
    <cacheField name="installation_date" numFmtId="14">
      <sharedItems containsSemiMixedTypes="0" containsNonDate="0" containsDate="1" containsString="0" minDate="2020-01-15T00:00:00" maxDate="2023-09-13T00:00:00"/>
    </cacheField>
    <cacheField name="meter_type" numFmtId="0">
      <sharedItems count="3">
        <s v="Mechanical"/>
        <s v="Digital"/>
        <s v="Smart"/>
      </sharedItems>
    </cacheField>
    <cacheField name="connection_type" numFmtId="0">
      <sharedItems/>
    </cacheField>
    <cacheField name="status" numFmtId="0">
      <sharedItems/>
    </cacheField>
    <cacheField name="reading_date" numFmtId="14">
      <sharedItems containsSemiMixedTypes="0" containsNonDate="0" containsDate="1" containsString="0" minDate="2024-01-03T00:00:00" maxDate="2024-07-31T00:00:00"/>
    </cacheField>
    <cacheField name="meter_index" numFmtId="0">
      <sharedItems containsSemiMixedTypes="0" containsString="0" containsNumber="1" containsInteger="1" minValue="12980" maxValue="47969"/>
    </cacheField>
    <cacheField name="revenue_fcfa" numFmtId="0">
      <sharedItems containsSemiMixedTypes="0" containsString="0" containsNumber="1" containsInteger="1" minValue="-8500" maxValue="25000"/>
    </cacheField>
    <cacheField name="recorded_by" numFmtId="0">
      <sharedItems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x v="0"/>
    <x v="0"/>
    <s v="11.3176"/>
    <s v="-5.6756"/>
    <d v="2022-03-15T00:00:00"/>
    <s v="Mechanical"/>
    <x v="0"/>
    <x v="0"/>
    <d v="2024-01-15T00:00:00"/>
    <x v="0"/>
    <x v="0"/>
    <x v="0"/>
    <x v="0"/>
  </r>
  <r>
    <x v="0"/>
    <x v="0"/>
    <s v="11.3176"/>
    <s v="-5.6756"/>
    <d v="2022-03-15T00:00:00"/>
    <s v="Mechanical"/>
    <x v="0"/>
    <x v="0"/>
    <d v="2024-02-15T00:00:00"/>
    <x v="1"/>
    <x v="0"/>
    <x v="0"/>
    <x v="0"/>
  </r>
  <r>
    <x v="0"/>
    <x v="0"/>
    <s v="11.3176"/>
    <s v="-5.6756"/>
    <d v="2022-03-15T00:00:00"/>
    <s v="Mechanical"/>
    <x v="0"/>
    <x v="0"/>
    <d v="2024-03-15T00:00:00"/>
    <x v="2"/>
    <x v="1"/>
    <x v="0"/>
    <x v="0"/>
  </r>
  <r>
    <x v="0"/>
    <x v="0"/>
    <s v="11.3176"/>
    <s v="-5.6756"/>
    <d v="2022-03-15T00:00:00"/>
    <s v="Mechanical"/>
    <x v="0"/>
    <x v="0"/>
    <d v="2024-04-15T00:00:00"/>
    <x v="3"/>
    <x v="0"/>
    <x v="0"/>
    <x v="0"/>
  </r>
  <r>
    <x v="0"/>
    <x v="0"/>
    <s v="11.3176"/>
    <s v="-5.6756"/>
    <d v="2022-03-15T00:00:00"/>
    <s v="Mechanical"/>
    <x v="0"/>
    <x v="0"/>
    <d v="2024-05-15T00:00:00"/>
    <x v="4"/>
    <x v="2"/>
    <x v="0"/>
    <x v="0"/>
  </r>
  <r>
    <x v="0"/>
    <x v="0"/>
    <s v="11.3176"/>
    <s v="-5.6756"/>
    <d v="2022-03-15T00:00:00"/>
    <s v="Mechanical"/>
    <x v="0"/>
    <x v="0"/>
    <d v="2024-06-15T00:00:00"/>
    <x v="5"/>
    <x v="3"/>
    <x v="0"/>
    <x v="0"/>
  </r>
  <r>
    <x v="0"/>
    <x v="0"/>
    <s v="11.3176"/>
    <s v="-5.6756"/>
    <d v="2022-03-15T00:00:00"/>
    <s v="Mechanical"/>
    <x v="0"/>
    <x v="0"/>
    <d v="2024-07-15T00:00:00"/>
    <x v="6"/>
    <x v="4"/>
    <x v="0"/>
    <x v="0"/>
  </r>
  <r>
    <x v="1"/>
    <x v="1"/>
    <s v="11.2845"/>
    <s v="-5.7123"/>
    <d v="2021-11-20T00:00:00"/>
    <s v="Digital"/>
    <x v="1"/>
    <x v="0"/>
    <d v="2024-01-20T00:00:00"/>
    <x v="7"/>
    <x v="5"/>
    <x v="1"/>
    <x v="0"/>
  </r>
  <r>
    <x v="1"/>
    <x v="1"/>
    <s v="11.2845"/>
    <s v="-5.7123"/>
    <d v="2021-11-20T00:00:00"/>
    <s v="Digital"/>
    <x v="1"/>
    <x v="0"/>
    <d v="2024-02-20T00:00:00"/>
    <x v="8"/>
    <x v="5"/>
    <x v="1"/>
    <x v="0"/>
  </r>
  <r>
    <x v="1"/>
    <x v="1"/>
    <s v="11.2845"/>
    <s v="-5.7123"/>
    <d v="2021-11-20T00:00:00"/>
    <s v="Digital"/>
    <x v="1"/>
    <x v="0"/>
    <d v="2024-03-20T00:00:00"/>
    <x v="9"/>
    <x v="6"/>
    <x v="1"/>
    <x v="0"/>
  </r>
  <r>
    <x v="1"/>
    <x v="1"/>
    <s v="11.2845"/>
    <s v="-5.7123"/>
    <d v="2021-11-20T00:00:00"/>
    <s v="Digital"/>
    <x v="1"/>
    <x v="0"/>
    <d v="2024-04-20T00:00:00"/>
    <x v="10"/>
    <x v="5"/>
    <x v="1"/>
    <x v="0"/>
  </r>
  <r>
    <x v="1"/>
    <x v="1"/>
    <s v="11.2845"/>
    <s v="-5.7123"/>
    <d v="2021-11-20T00:00:00"/>
    <s v="Digital"/>
    <x v="1"/>
    <x v="0"/>
    <d v="2024-05-20T00:00:00"/>
    <x v="11"/>
    <x v="6"/>
    <x v="1"/>
    <x v="0"/>
  </r>
  <r>
    <x v="1"/>
    <x v="1"/>
    <s v="11.2845"/>
    <s v="-5.7123"/>
    <d v="2021-11-20T00:00:00"/>
    <s v="Digital"/>
    <x v="1"/>
    <x v="0"/>
    <d v="2024-06-20T00:00:00"/>
    <x v="12"/>
    <x v="5"/>
    <x v="1"/>
    <x v="1"/>
  </r>
  <r>
    <x v="1"/>
    <x v="1"/>
    <s v="11.2845"/>
    <s v="-5.7123"/>
    <d v="2021-11-20T00:00:00"/>
    <s v="Digital"/>
    <x v="1"/>
    <x v="0"/>
    <d v="2024-07-20T00:00:00"/>
    <x v="13"/>
    <x v="6"/>
    <x v="1"/>
    <x v="0"/>
  </r>
  <r>
    <x v="2"/>
    <x v="2"/>
    <s v="11.4012"/>
    <s v="-5.5234"/>
    <d v="2023-01-10T00:00:00"/>
    <s v="Smart"/>
    <x v="0"/>
    <x v="0"/>
    <d v="2024-01-10T00:00:00"/>
    <x v="14"/>
    <x v="7"/>
    <x v="2"/>
    <x v="0"/>
  </r>
  <r>
    <x v="2"/>
    <x v="2"/>
    <s v="11.4012"/>
    <s v="-5.5234"/>
    <d v="2023-01-10T00:00:00"/>
    <s v="Smart"/>
    <x v="0"/>
    <x v="0"/>
    <d v="2024-02-10T00:00:00"/>
    <x v="15"/>
    <x v="7"/>
    <x v="2"/>
    <x v="0"/>
  </r>
  <r>
    <x v="2"/>
    <x v="2"/>
    <s v="11.4012"/>
    <s v="-5.5234"/>
    <d v="2023-01-10T00:00:00"/>
    <s v="Smart"/>
    <x v="0"/>
    <x v="0"/>
    <d v="2024-03-10T00:00:00"/>
    <x v="16"/>
    <x v="8"/>
    <x v="2"/>
    <x v="0"/>
  </r>
  <r>
    <x v="2"/>
    <x v="2"/>
    <s v="11.4012"/>
    <s v="-5.5234"/>
    <d v="2023-01-10T00:00:00"/>
    <s v="Smart"/>
    <x v="0"/>
    <x v="1"/>
    <d v="2024-04-10T00:00:00"/>
    <x v="16"/>
    <x v="9"/>
    <x v="2"/>
    <x v="2"/>
  </r>
  <r>
    <x v="2"/>
    <x v="2"/>
    <s v="11.4012"/>
    <s v="-5.5234"/>
    <d v="2023-01-10T00:00:00"/>
    <s v="Smart"/>
    <x v="0"/>
    <x v="1"/>
    <d v="2024-05-10T00:00:00"/>
    <x v="17"/>
    <x v="10"/>
    <x v="2"/>
    <x v="3"/>
  </r>
  <r>
    <x v="2"/>
    <x v="2"/>
    <s v="11.4012"/>
    <s v="-5.5234"/>
    <d v="2023-01-10T00:00:00"/>
    <s v="Smart"/>
    <x v="0"/>
    <x v="0"/>
    <d v="2024-06-10T00:00:00"/>
    <x v="18"/>
    <x v="11"/>
    <x v="2"/>
    <x v="4"/>
  </r>
  <r>
    <x v="2"/>
    <x v="2"/>
    <s v="11.4012"/>
    <s v="-5.5234"/>
    <d v="2023-01-10T00:00:00"/>
    <s v="Smart"/>
    <x v="0"/>
    <x v="0"/>
    <d v="2024-07-10T00:00:00"/>
    <x v="19"/>
    <x v="8"/>
    <x v="2"/>
    <x v="0"/>
  </r>
  <r>
    <x v="3"/>
    <x v="3"/>
    <s v="11.2567"/>
    <s v="-5.8901"/>
    <d v="2020-08-05T00:00:00"/>
    <s v="Mechanical"/>
    <x v="1"/>
    <x v="0"/>
    <d v="2024-01-25T00:00:00"/>
    <x v="20"/>
    <x v="6"/>
    <x v="3"/>
    <x v="0"/>
  </r>
  <r>
    <x v="3"/>
    <x v="3"/>
    <s v="11.2567"/>
    <s v="-5.8901"/>
    <d v="2020-08-05T00:00:00"/>
    <s v="Mechanical"/>
    <x v="1"/>
    <x v="0"/>
    <d v="2024-02-25T00:00:00"/>
    <x v="21"/>
    <x v="6"/>
    <x v="3"/>
    <x v="0"/>
  </r>
  <r>
    <x v="3"/>
    <x v="3"/>
    <s v="11.2567"/>
    <s v="-5.8901"/>
    <d v="2020-08-05T00:00:00"/>
    <s v="Mechanical"/>
    <x v="1"/>
    <x v="0"/>
    <d v="2024-03-25T00:00:00"/>
    <x v="22"/>
    <x v="12"/>
    <x v="3"/>
    <x v="0"/>
  </r>
  <r>
    <x v="3"/>
    <x v="3"/>
    <s v="11.2567"/>
    <s v="-5.8901"/>
    <d v="2020-08-05T00:00:00"/>
    <s v="Mechanical"/>
    <x v="1"/>
    <x v="0"/>
    <d v="2024-04-25T00:00:00"/>
    <x v="23"/>
    <x v="6"/>
    <x v="3"/>
    <x v="0"/>
  </r>
  <r>
    <x v="3"/>
    <x v="3"/>
    <s v="11.2567"/>
    <s v="-5.8901"/>
    <d v="2020-08-05T00:00:00"/>
    <s v="Mechanical"/>
    <x v="1"/>
    <x v="0"/>
    <d v="2024-05-25T00:00:00"/>
    <x v="24"/>
    <x v="12"/>
    <x v="3"/>
    <x v="0"/>
  </r>
  <r>
    <x v="3"/>
    <x v="3"/>
    <s v="11.2567"/>
    <s v="-5.8901"/>
    <d v="2020-08-05T00:00:00"/>
    <s v="Mechanical"/>
    <x v="1"/>
    <x v="0"/>
    <d v="2024-06-25T00:00:00"/>
    <x v="25"/>
    <x v="6"/>
    <x v="3"/>
    <x v="0"/>
  </r>
  <r>
    <x v="3"/>
    <x v="3"/>
    <s v="11.2567"/>
    <s v="-5.8901"/>
    <d v="2020-08-05T00:00:00"/>
    <s v="Mechanical"/>
    <x v="1"/>
    <x v="0"/>
    <d v="2024-07-25T00:00:00"/>
    <x v="26"/>
    <x v="12"/>
    <x v="3"/>
    <x v="0"/>
  </r>
  <r>
    <x v="4"/>
    <x v="4"/>
    <s v="11.3789"/>
    <s v="-5.4567"/>
    <d v="2022-07-22T00:00:00"/>
    <s v="Digital"/>
    <x v="0"/>
    <x v="2"/>
    <d v="2024-01-30T00:00:00"/>
    <x v="27"/>
    <x v="9"/>
    <x v="4"/>
    <x v="5"/>
  </r>
  <r>
    <x v="4"/>
    <x v="4"/>
    <s v="11.3789"/>
    <s v="-5.4567"/>
    <d v="2022-07-22T00:00:00"/>
    <s v="Digital"/>
    <x v="0"/>
    <x v="2"/>
    <d v="2024-02-28T00:00:00"/>
    <x v="27"/>
    <x v="9"/>
    <x v="4"/>
    <x v="5"/>
  </r>
  <r>
    <x v="4"/>
    <x v="4"/>
    <s v="11.3789"/>
    <s v="-5.4567"/>
    <d v="2022-07-22T00:00:00"/>
    <s v="Digital"/>
    <x v="0"/>
    <x v="2"/>
    <d v="2024-03-30T00:00:00"/>
    <x v="28"/>
    <x v="10"/>
    <x v="4"/>
    <x v="6"/>
  </r>
  <r>
    <x v="4"/>
    <x v="4"/>
    <s v="11.3789"/>
    <s v="-5.4567"/>
    <d v="2022-07-22T00:00:00"/>
    <s v="Digital"/>
    <x v="0"/>
    <x v="2"/>
    <d v="2024-04-30T00:00:00"/>
    <x v="28"/>
    <x v="9"/>
    <x v="4"/>
    <x v="5"/>
  </r>
  <r>
    <x v="4"/>
    <x v="4"/>
    <s v="11.3789"/>
    <s v="-5.4567"/>
    <d v="2022-07-22T00:00:00"/>
    <s v="Digital"/>
    <x v="0"/>
    <x v="2"/>
    <d v="2024-05-30T00:00:00"/>
    <x v="28"/>
    <x v="9"/>
    <x v="4"/>
    <x v="5"/>
  </r>
  <r>
    <x v="4"/>
    <x v="4"/>
    <s v="11.3789"/>
    <s v="-5.4567"/>
    <d v="2022-07-22T00:00:00"/>
    <s v="Digital"/>
    <x v="0"/>
    <x v="2"/>
    <d v="2024-06-30T00:00:00"/>
    <x v="28"/>
    <x v="9"/>
    <x v="4"/>
    <x v="5"/>
  </r>
  <r>
    <x v="4"/>
    <x v="4"/>
    <s v="11.3789"/>
    <s v="-5.4567"/>
    <d v="2022-07-22T00:00:00"/>
    <s v="Digital"/>
    <x v="0"/>
    <x v="2"/>
    <d v="2024-07-30T00:00:00"/>
    <x v="28"/>
    <x v="9"/>
    <x v="4"/>
    <x v="5"/>
  </r>
  <r>
    <x v="5"/>
    <x v="5"/>
    <s v="11.1667"/>
    <s v="-8.1333"/>
    <d v="2021-05-12T00:00:00"/>
    <s v="Mechanical"/>
    <x v="1"/>
    <x v="0"/>
    <d v="2024-01-18T00:00:00"/>
    <x v="29"/>
    <x v="5"/>
    <x v="5"/>
    <x v="0"/>
  </r>
  <r>
    <x v="5"/>
    <x v="5"/>
    <s v="11.1667"/>
    <s v="-8.1333"/>
    <d v="2021-05-12T00:00:00"/>
    <s v="Mechanical"/>
    <x v="1"/>
    <x v="0"/>
    <d v="2024-02-18T00:00:00"/>
    <x v="30"/>
    <x v="5"/>
    <x v="5"/>
    <x v="0"/>
  </r>
  <r>
    <x v="5"/>
    <x v="5"/>
    <s v="11.1667"/>
    <s v="-8.1333"/>
    <d v="2021-05-12T00:00:00"/>
    <s v="Mechanical"/>
    <x v="1"/>
    <x v="0"/>
    <d v="2024-03-18T00:00:00"/>
    <x v="31"/>
    <x v="6"/>
    <x v="5"/>
    <x v="0"/>
  </r>
  <r>
    <x v="5"/>
    <x v="5"/>
    <s v="11.1667"/>
    <s v="-8.1333"/>
    <d v="2021-05-12T00:00:00"/>
    <s v="Mechanical"/>
    <x v="1"/>
    <x v="0"/>
    <d v="2024-04-18T00:00:00"/>
    <x v="32"/>
    <x v="5"/>
    <x v="5"/>
    <x v="0"/>
  </r>
  <r>
    <x v="5"/>
    <x v="5"/>
    <s v="11.1667"/>
    <s v="-8.1333"/>
    <d v="2021-05-12T00:00:00"/>
    <s v="Mechanical"/>
    <x v="1"/>
    <x v="0"/>
    <d v="2024-05-18T00:00:00"/>
    <x v="33"/>
    <x v="6"/>
    <x v="5"/>
    <x v="0"/>
  </r>
  <r>
    <x v="5"/>
    <x v="5"/>
    <s v="11.1667"/>
    <s v="-8.1333"/>
    <d v="2021-05-12T00:00:00"/>
    <s v="Mechanical"/>
    <x v="1"/>
    <x v="0"/>
    <d v="2024-06-18T00:00:00"/>
    <x v="34"/>
    <x v="13"/>
    <x v="5"/>
    <x v="0"/>
  </r>
  <r>
    <x v="5"/>
    <x v="5"/>
    <s v="11.1667"/>
    <s v="-8.1333"/>
    <d v="2021-05-12T00:00:00"/>
    <s v="Mechanical"/>
    <x v="1"/>
    <x v="0"/>
    <d v="2024-07-18T00:00:00"/>
    <x v="35"/>
    <x v="6"/>
    <x v="5"/>
    <x v="0"/>
  </r>
  <r>
    <x v="6"/>
    <x v="6"/>
    <s v="12.3833"/>
    <s v="-5.4667"/>
    <d v="2023-02-28T00:00:00"/>
    <s v="Smart"/>
    <x v="0"/>
    <x v="0"/>
    <d v="2024-01-05T00:00:00"/>
    <x v="36"/>
    <x v="11"/>
    <x v="6"/>
    <x v="0"/>
  </r>
  <r>
    <x v="6"/>
    <x v="6"/>
    <s v="12.3833"/>
    <s v="-5.4667"/>
    <d v="2023-02-28T00:00:00"/>
    <s v="Smart"/>
    <x v="0"/>
    <x v="0"/>
    <d v="2024-02-05T00:00:00"/>
    <x v="37"/>
    <x v="11"/>
    <x v="6"/>
    <x v="0"/>
  </r>
  <r>
    <x v="6"/>
    <x v="6"/>
    <s v="12.3833"/>
    <s v="-5.4667"/>
    <d v="2023-02-28T00:00:00"/>
    <s v="Smart"/>
    <x v="0"/>
    <x v="0"/>
    <d v="2024-03-05T00:00:00"/>
    <x v="38"/>
    <x v="14"/>
    <x v="6"/>
    <x v="0"/>
  </r>
  <r>
    <x v="6"/>
    <x v="6"/>
    <s v="12.3833"/>
    <s v="-5.4667"/>
    <d v="2023-02-28T00:00:00"/>
    <s v="Smart"/>
    <x v="0"/>
    <x v="0"/>
    <d v="2024-04-05T00:00:00"/>
    <x v="39"/>
    <x v="11"/>
    <x v="6"/>
    <x v="0"/>
  </r>
  <r>
    <x v="6"/>
    <x v="6"/>
    <s v="12.3833"/>
    <s v="-5.4667"/>
    <d v="2023-02-28T00:00:00"/>
    <s v="Smart"/>
    <x v="0"/>
    <x v="0"/>
    <d v="2024-05-05T00:00:00"/>
    <x v="40"/>
    <x v="14"/>
    <x v="6"/>
    <x v="0"/>
  </r>
  <r>
    <x v="6"/>
    <x v="6"/>
    <s v="12.3833"/>
    <s v="-5.4667"/>
    <d v="2023-02-28T00:00:00"/>
    <s v="Smart"/>
    <x v="0"/>
    <x v="0"/>
    <d v="2024-06-05T00:00:00"/>
    <x v="41"/>
    <x v="11"/>
    <x v="6"/>
    <x v="0"/>
  </r>
  <r>
    <x v="6"/>
    <x v="6"/>
    <s v="12.3833"/>
    <s v="-5.4667"/>
    <d v="2023-02-28T00:00:00"/>
    <s v="Smart"/>
    <x v="0"/>
    <x v="0"/>
    <d v="2024-07-05T00:00:00"/>
    <x v="42"/>
    <x v="14"/>
    <x v="6"/>
    <x v="0"/>
  </r>
  <r>
    <x v="7"/>
    <x v="7"/>
    <s v="11.5667"/>
    <s v="-6.1833"/>
    <d v="2020-12-10T00:00:00"/>
    <s v="Digital"/>
    <x v="1"/>
    <x v="0"/>
    <d v="2024-01-12T00:00:00"/>
    <x v="43"/>
    <x v="13"/>
    <x v="7"/>
    <x v="0"/>
  </r>
  <r>
    <x v="7"/>
    <x v="7"/>
    <s v="11.5667"/>
    <s v="-6.1833"/>
    <d v="2020-12-10T00:00:00"/>
    <s v="Digital"/>
    <x v="1"/>
    <x v="0"/>
    <d v="2024-02-12T00:00:00"/>
    <x v="44"/>
    <x v="13"/>
    <x v="7"/>
    <x v="0"/>
  </r>
  <r>
    <x v="7"/>
    <x v="7"/>
    <s v="11.5667"/>
    <s v="-6.1833"/>
    <d v="2020-12-10T00:00:00"/>
    <s v="Digital"/>
    <x v="1"/>
    <x v="0"/>
    <d v="2024-03-12T00:00:00"/>
    <x v="45"/>
    <x v="5"/>
    <x v="7"/>
    <x v="0"/>
  </r>
  <r>
    <x v="7"/>
    <x v="7"/>
    <s v="11.5667"/>
    <s v="-6.1833"/>
    <d v="2020-12-10T00:00:00"/>
    <s v="Digital"/>
    <x v="1"/>
    <x v="0"/>
    <d v="2024-04-12T00:00:00"/>
    <x v="46"/>
    <x v="13"/>
    <x v="7"/>
    <x v="0"/>
  </r>
  <r>
    <x v="7"/>
    <x v="7"/>
    <s v="11.5667"/>
    <s v="-6.1833"/>
    <d v="2020-12-10T00:00:00"/>
    <s v="Digital"/>
    <x v="1"/>
    <x v="0"/>
    <d v="2024-05-12T00:00:00"/>
    <x v="47"/>
    <x v="5"/>
    <x v="7"/>
    <x v="0"/>
  </r>
  <r>
    <x v="7"/>
    <x v="7"/>
    <s v="11.5667"/>
    <s v="-6.1833"/>
    <d v="2020-12-10T00:00:00"/>
    <s v="Digital"/>
    <x v="1"/>
    <x v="0"/>
    <d v="2024-06-12T00:00:00"/>
    <x v="48"/>
    <x v="13"/>
    <x v="7"/>
    <x v="0"/>
  </r>
  <r>
    <x v="7"/>
    <x v="7"/>
    <s v="11.5667"/>
    <s v="-6.1833"/>
    <d v="2020-12-10T00:00:00"/>
    <s v="Digital"/>
    <x v="1"/>
    <x v="0"/>
    <d v="2024-07-12T00:00:00"/>
    <x v="49"/>
    <x v="5"/>
    <x v="7"/>
    <x v="0"/>
  </r>
  <r>
    <x v="8"/>
    <x v="8"/>
    <s v="11.4167"/>
    <s v="-7.4833"/>
    <d v="2023-06-15T00:00:00"/>
    <s v="Smart"/>
    <x v="0"/>
    <x v="0"/>
    <d v="2024-01-08T00:00:00"/>
    <x v="50"/>
    <x v="15"/>
    <x v="8"/>
    <x v="0"/>
  </r>
  <r>
    <x v="8"/>
    <x v="8"/>
    <s v="11.4167"/>
    <s v="-7.4833"/>
    <d v="2023-06-15T00:00:00"/>
    <s v="Smart"/>
    <x v="0"/>
    <x v="0"/>
    <d v="2024-02-08T00:00:00"/>
    <x v="51"/>
    <x v="15"/>
    <x v="8"/>
    <x v="0"/>
  </r>
  <r>
    <x v="8"/>
    <x v="8"/>
    <s v="11.4167"/>
    <s v="-7.4833"/>
    <d v="2023-06-15T00:00:00"/>
    <s v="Smart"/>
    <x v="0"/>
    <x v="0"/>
    <d v="2024-03-08T00:00:00"/>
    <x v="52"/>
    <x v="16"/>
    <x v="8"/>
    <x v="0"/>
  </r>
  <r>
    <x v="8"/>
    <x v="8"/>
    <s v="11.4167"/>
    <s v="-7.4833"/>
    <d v="2023-06-15T00:00:00"/>
    <s v="Smart"/>
    <x v="0"/>
    <x v="0"/>
    <d v="2024-04-08T00:00:00"/>
    <x v="53"/>
    <x v="15"/>
    <x v="8"/>
    <x v="0"/>
  </r>
  <r>
    <x v="8"/>
    <x v="8"/>
    <s v="11.4167"/>
    <s v="-7.4833"/>
    <d v="2023-06-15T00:00:00"/>
    <s v="Smart"/>
    <x v="0"/>
    <x v="0"/>
    <d v="2024-05-08T00:00:00"/>
    <x v="54"/>
    <x v="16"/>
    <x v="8"/>
    <x v="0"/>
  </r>
  <r>
    <x v="8"/>
    <x v="8"/>
    <s v="11.4167"/>
    <s v="-7.4833"/>
    <d v="2023-06-15T00:00:00"/>
    <s v="Smart"/>
    <x v="0"/>
    <x v="0"/>
    <d v="2024-06-08T00:00:00"/>
    <x v="55"/>
    <x v="15"/>
    <x v="8"/>
    <x v="0"/>
  </r>
  <r>
    <x v="8"/>
    <x v="8"/>
    <s v="11.4167"/>
    <s v="-7.4833"/>
    <d v="2023-06-15T00:00:00"/>
    <s v="Smart"/>
    <x v="0"/>
    <x v="0"/>
    <d v="2024-07-08T00:00:00"/>
    <x v="56"/>
    <x v="16"/>
    <x v="8"/>
    <x v="0"/>
  </r>
  <r>
    <x v="9"/>
    <x v="9"/>
    <s v="11.0833"/>
    <s v="-6.9"/>
    <d v="2022-10-20T00:00:00"/>
    <s v="Mechanical"/>
    <x v="0"/>
    <x v="0"/>
    <d v="2024-01-22T00:00:00"/>
    <x v="57"/>
    <x v="17"/>
    <x v="9"/>
    <x v="0"/>
  </r>
  <r>
    <x v="9"/>
    <x v="9"/>
    <s v="11.0833"/>
    <s v="-6.9"/>
    <d v="2022-10-20T00:00:00"/>
    <s v="Mechanical"/>
    <x v="0"/>
    <x v="0"/>
    <d v="2024-02-22T00:00:00"/>
    <x v="58"/>
    <x v="17"/>
    <x v="9"/>
    <x v="0"/>
  </r>
  <r>
    <x v="9"/>
    <x v="9"/>
    <s v="11.0833"/>
    <s v="-6.9"/>
    <d v="2022-10-20T00:00:00"/>
    <s v="Mechanical"/>
    <x v="0"/>
    <x v="0"/>
    <d v="2024-03-22T00:00:00"/>
    <x v="59"/>
    <x v="3"/>
    <x v="9"/>
    <x v="0"/>
  </r>
  <r>
    <x v="9"/>
    <x v="9"/>
    <s v="11.0833"/>
    <s v="-6.9"/>
    <d v="2022-10-20T00:00:00"/>
    <s v="Mechanical"/>
    <x v="0"/>
    <x v="0"/>
    <d v="2024-04-22T00:00:00"/>
    <x v="60"/>
    <x v="17"/>
    <x v="9"/>
    <x v="0"/>
  </r>
  <r>
    <x v="9"/>
    <x v="9"/>
    <s v="11.0833"/>
    <s v="-6.9"/>
    <d v="2022-10-20T00:00:00"/>
    <s v="Mechanical"/>
    <x v="0"/>
    <x v="0"/>
    <d v="2024-05-22T00:00:00"/>
    <x v="61"/>
    <x v="3"/>
    <x v="9"/>
    <x v="0"/>
  </r>
  <r>
    <x v="9"/>
    <x v="9"/>
    <s v="11.0833"/>
    <s v="-6.9"/>
    <d v="2022-10-20T00:00:00"/>
    <s v="Mechanical"/>
    <x v="0"/>
    <x v="0"/>
    <d v="2024-06-22T00:00:00"/>
    <x v="62"/>
    <x v="17"/>
    <x v="9"/>
    <x v="0"/>
  </r>
  <r>
    <x v="9"/>
    <x v="9"/>
    <s v="11.0833"/>
    <s v="-6.9"/>
    <d v="2022-10-20T00:00:00"/>
    <s v="Mechanical"/>
    <x v="0"/>
    <x v="0"/>
    <d v="2024-07-22T00:00:00"/>
    <x v="63"/>
    <x v="3"/>
    <x v="9"/>
    <x v="0"/>
  </r>
  <r>
    <x v="10"/>
    <x v="10"/>
    <s v="11.2"/>
    <s v="-7.8"/>
    <d v="2021-03-08T00:00:00"/>
    <s v="Digital"/>
    <x v="1"/>
    <x v="0"/>
    <d v="2024-01-14T00:00:00"/>
    <x v="64"/>
    <x v="18"/>
    <x v="10"/>
    <x v="0"/>
  </r>
  <r>
    <x v="10"/>
    <x v="10"/>
    <s v="11.2"/>
    <s v="-7.8"/>
    <d v="2021-03-08T00:00:00"/>
    <s v="Digital"/>
    <x v="1"/>
    <x v="0"/>
    <d v="2024-02-14T00:00:00"/>
    <x v="65"/>
    <x v="18"/>
    <x v="10"/>
    <x v="0"/>
  </r>
  <r>
    <x v="10"/>
    <x v="10"/>
    <s v="11.2"/>
    <s v="-7.8"/>
    <d v="2021-03-08T00:00:00"/>
    <s v="Digital"/>
    <x v="1"/>
    <x v="0"/>
    <d v="2024-03-14T00:00:00"/>
    <x v="66"/>
    <x v="13"/>
    <x v="10"/>
    <x v="0"/>
  </r>
  <r>
    <x v="10"/>
    <x v="10"/>
    <s v="11.2"/>
    <s v="-7.8"/>
    <d v="2021-03-08T00:00:00"/>
    <s v="Digital"/>
    <x v="1"/>
    <x v="0"/>
    <d v="2024-04-14T00:00:00"/>
    <x v="67"/>
    <x v="18"/>
    <x v="10"/>
    <x v="0"/>
  </r>
  <r>
    <x v="10"/>
    <x v="10"/>
    <s v="11.2"/>
    <s v="-7.8"/>
    <d v="2021-03-08T00:00:00"/>
    <s v="Digital"/>
    <x v="1"/>
    <x v="0"/>
    <d v="2024-05-14T00:00:00"/>
    <x v="68"/>
    <x v="13"/>
    <x v="10"/>
    <x v="0"/>
  </r>
  <r>
    <x v="10"/>
    <x v="10"/>
    <s v="11.2"/>
    <s v="-7.8"/>
    <d v="2021-03-08T00:00:00"/>
    <s v="Digital"/>
    <x v="1"/>
    <x v="0"/>
    <d v="2024-06-14T00:00:00"/>
    <x v="69"/>
    <x v="18"/>
    <x v="10"/>
    <x v="0"/>
  </r>
  <r>
    <x v="10"/>
    <x v="10"/>
    <s v="11.2"/>
    <s v="-7.8"/>
    <d v="2021-03-08T00:00:00"/>
    <s v="Digital"/>
    <x v="1"/>
    <x v="0"/>
    <d v="2024-07-14T00:00:00"/>
    <x v="70"/>
    <x v="13"/>
    <x v="10"/>
    <x v="0"/>
  </r>
  <r>
    <x v="11"/>
    <x v="11"/>
    <s v="12.4833"/>
    <s v="-6.8"/>
    <d v="2023-09-12T00:00:00"/>
    <s v="Smart"/>
    <x v="0"/>
    <x v="0"/>
    <d v="2024-01-03T00:00:00"/>
    <x v="71"/>
    <x v="19"/>
    <x v="11"/>
    <x v="0"/>
  </r>
  <r>
    <x v="11"/>
    <x v="11"/>
    <s v="12.4833"/>
    <s v="-6.8"/>
    <d v="2023-09-12T00:00:00"/>
    <s v="Smart"/>
    <x v="0"/>
    <x v="0"/>
    <d v="2024-02-03T00:00:00"/>
    <x v="72"/>
    <x v="19"/>
    <x v="11"/>
    <x v="0"/>
  </r>
  <r>
    <x v="11"/>
    <x v="11"/>
    <s v="12.4833"/>
    <s v="-6.8"/>
    <d v="2023-09-12T00:00:00"/>
    <s v="Smart"/>
    <x v="0"/>
    <x v="0"/>
    <d v="2024-03-03T00:00:00"/>
    <x v="73"/>
    <x v="20"/>
    <x v="11"/>
    <x v="0"/>
  </r>
  <r>
    <x v="11"/>
    <x v="11"/>
    <s v="12.4833"/>
    <s v="-6.8"/>
    <d v="2023-09-12T00:00:00"/>
    <s v="Smart"/>
    <x v="0"/>
    <x v="0"/>
    <d v="2024-04-03T00:00:00"/>
    <x v="74"/>
    <x v="19"/>
    <x v="11"/>
    <x v="0"/>
  </r>
  <r>
    <x v="11"/>
    <x v="11"/>
    <s v="12.4833"/>
    <s v="-6.8"/>
    <d v="2023-09-12T00:00:00"/>
    <s v="Smart"/>
    <x v="0"/>
    <x v="0"/>
    <d v="2024-05-03T00:00:00"/>
    <x v="75"/>
    <x v="20"/>
    <x v="11"/>
    <x v="0"/>
  </r>
  <r>
    <x v="11"/>
    <x v="11"/>
    <s v="12.4833"/>
    <s v="-6.8"/>
    <d v="2023-09-12T00:00:00"/>
    <s v="Smart"/>
    <x v="0"/>
    <x v="0"/>
    <d v="2024-06-03T00:00:00"/>
    <x v="76"/>
    <x v="19"/>
    <x v="11"/>
    <x v="0"/>
  </r>
  <r>
    <x v="11"/>
    <x v="11"/>
    <s v="12.4833"/>
    <s v="-6.8"/>
    <d v="2023-09-12T00:00:00"/>
    <s v="Smart"/>
    <x v="0"/>
    <x v="0"/>
    <d v="2024-07-03T00:00:00"/>
    <x v="77"/>
    <x v="20"/>
    <x v="11"/>
    <x v="0"/>
  </r>
  <r>
    <x v="12"/>
    <x v="12"/>
    <s v="11.6"/>
    <s v="-8.3333"/>
    <d v="2020-01-15T00:00:00"/>
    <s v="Mechanical"/>
    <x v="0"/>
    <x v="0"/>
    <d v="2024-01-28T00:00:00"/>
    <x v="78"/>
    <x v="2"/>
    <x v="12"/>
    <x v="0"/>
  </r>
  <r>
    <x v="12"/>
    <x v="12"/>
    <s v="11.6"/>
    <s v="-8.3333"/>
    <d v="2020-01-15T00:00:00"/>
    <s v="Mechanical"/>
    <x v="0"/>
    <x v="0"/>
    <d v="2024-02-28T00:00:00"/>
    <x v="79"/>
    <x v="2"/>
    <x v="12"/>
    <x v="0"/>
  </r>
  <r>
    <x v="12"/>
    <x v="12"/>
    <s v="11.6"/>
    <s v="-8.3333"/>
    <d v="2020-01-15T00:00:00"/>
    <s v="Mechanical"/>
    <x v="0"/>
    <x v="0"/>
    <d v="2024-03-28T00:00:00"/>
    <x v="80"/>
    <x v="21"/>
    <x v="12"/>
    <x v="0"/>
  </r>
  <r>
    <x v="12"/>
    <x v="12"/>
    <s v="11.6"/>
    <s v="-8.3333"/>
    <d v="2020-01-15T00:00:00"/>
    <s v="Mechanical"/>
    <x v="0"/>
    <x v="0"/>
    <d v="2024-04-28T00:00:00"/>
    <x v="81"/>
    <x v="2"/>
    <x v="12"/>
    <x v="0"/>
  </r>
  <r>
    <x v="12"/>
    <x v="12"/>
    <s v="11.6"/>
    <s v="-8.3333"/>
    <d v="2020-01-15T00:00:00"/>
    <s v="Mechanical"/>
    <x v="0"/>
    <x v="0"/>
    <d v="2024-05-28T00:00:00"/>
    <x v="82"/>
    <x v="21"/>
    <x v="12"/>
    <x v="0"/>
  </r>
  <r>
    <x v="12"/>
    <x v="12"/>
    <s v="11.6"/>
    <s v="-8.3333"/>
    <d v="2020-01-15T00:00:00"/>
    <s v="Mechanical"/>
    <x v="0"/>
    <x v="0"/>
    <d v="2024-06-28T00:00:00"/>
    <x v="83"/>
    <x v="17"/>
    <x v="12"/>
    <x v="0"/>
  </r>
  <r>
    <x v="12"/>
    <x v="12"/>
    <s v="11.6"/>
    <s v="-8.3333"/>
    <d v="2020-01-15T00:00:00"/>
    <s v="Mechanical"/>
    <x v="0"/>
    <x v="0"/>
    <d v="2024-07-28T00:00:00"/>
    <x v="84"/>
    <x v="21"/>
    <x v="12"/>
    <x v="0"/>
  </r>
  <r>
    <x v="13"/>
    <x v="13"/>
    <s v="13.0333"/>
    <s v="-9.4833"/>
    <d v="2022-05-25T00:00:00"/>
    <s v="Digital"/>
    <x v="0"/>
    <x v="0"/>
    <d v="2024-01-06T00:00:00"/>
    <x v="85"/>
    <x v="22"/>
    <x v="13"/>
    <x v="7"/>
  </r>
  <r>
    <x v="13"/>
    <x v="13"/>
    <s v="13.0333"/>
    <s v="-9.4833"/>
    <d v="2022-05-25T00:00:00"/>
    <s v="Digital"/>
    <x v="0"/>
    <x v="0"/>
    <d v="2024-02-06T00:00:00"/>
    <x v="86"/>
    <x v="22"/>
    <x v="13"/>
    <x v="0"/>
  </r>
  <r>
    <x v="13"/>
    <x v="13"/>
    <s v="13.0333"/>
    <s v="-9.4833"/>
    <d v="2022-05-25T00:00:00"/>
    <s v="Digital"/>
    <x v="0"/>
    <x v="0"/>
    <d v="2024-03-06T00:00:00"/>
    <x v="87"/>
    <x v="23"/>
    <x v="13"/>
    <x v="0"/>
  </r>
  <r>
    <x v="13"/>
    <x v="13"/>
    <s v="13.0333"/>
    <s v="-9.4833"/>
    <d v="2022-05-25T00:00:00"/>
    <s v="Digital"/>
    <x v="0"/>
    <x v="0"/>
    <d v="2024-04-06T00:00:00"/>
    <x v="88"/>
    <x v="22"/>
    <x v="13"/>
    <x v="0"/>
  </r>
  <r>
    <x v="13"/>
    <x v="13"/>
    <s v="13.0333"/>
    <s v="-9.4833"/>
    <d v="2022-05-25T00:00:00"/>
    <s v="Digital"/>
    <x v="0"/>
    <x v="0"/>
    <d v="2024-05-06T00:00:00"/>
    <x v="89"/>
    <x v="23"/>
    <x v="13"/>
    <x v="0"/>
  </r>
  <r>
    <x v="13"/>
    <x v="13"/>
    <s v="13.0333"/>
    <s v="-9.4833"/>
    <d v="2022-05-25T00:00:00"/>
    <s v="Digital"/>
    <x v="0"/>
    <x v="0"/>
    <d v="2024-06-06T00:00:00"/>
    <x v="90"/>
    <x v="22"/>
    <x v="13"/>
    <x v="0"/>
  </r>
  <r>
    <x v="13"/>
    <x v="13"/>
    <s v="13.0333"/>
    <s v="-9.4833"/>
    <d v="2022-05-25T00:00:00"/>
    <s v="Digital"/>
    <x v="0"/>
    <x v="0"/>
    <d v="2024-07-06T00:00:00"/>
    <x v="91"/>
    <x v="24"/>
    <x v="13"/>
    <x v="8"/>
  </r>
  <r>
    <x v="14"/>
    <x v="14"/>
    <s v="12.1"/>
    <s v="-7.2"/>
    <d v="2021-08-30T00:00:00"/>
    <s v="Mechanical"/>
    <x v="0"/>
    <x v="0"/>
    <d v="2024-01-16T00:00:00"/>
    <x v="92"/>
    <x v="3"/>
    <x v="14"/>
    <x v="0"/>
  </r>
  <r>
    <x v="14"/>
    <x v="14"/>
    <s v="12.1"/>
    <s v="-7.2"/>
    <d v="2021-08-30T00:00:00"/>
    <s v="Mechanical"/>
    <x v="0"/>
    <x v="0"/>
    <d v="2024-02-16T00:00:00"/>
    <x v="93"/>
    <x v="3"/>
    <x v="14"/>
    <x v="0"/>
  </r>
  <r>
    <x v="14"/>
    <x v="14"/>
    <s v="12.1"/>
    <s v="-7.2"/>
    <d v="2021-08-30T00:00:00"/>
    <s v="Mechanical"/>
    <x v="0"/>
    <x v="0"/>
    <d v="2024-03-16T00:00:00"/>
    <x v="94"/>
    <x v="1"/>
    <x v="14"/>
    <x v="0"/>
  </r>
  <r>
    <x v="14"/>
    <x v="14"/>
    <s v="12.1"/>
    <s v="-7.2"/>
    <d v="2021-08-30T00:00:00"/>
    <s v="Mechanical"/>
    <x v="0"/>
    <x v="0"/>
    <d v="2024-04-16T00:00:00"/>
    <x v="95"/>
    <x v="3"/>
    <x v="14"/>
    <x v="0"/>
  </r>
  <r>
    <x v="14"/>
    <x v="14"/>
    <s v="12.1"/>
    <s v="-7.2"/>
    <d v="2021-08-30T00:00:00"/>
    <s v="Mechanical"/>
    <x v="0"/>
    <x v="0"/>
    <d v="2024-05-16T00:00:00"/>
    <x v="96"/>
    <x v="1"/>
    <x v="14"/>
    <x v="0"/>
  </r>
  <r>
    <x v="14"/>
    <x v="14"/>
    <s v="12.1"/>
    <s v="-7.2"/>
    <d v="2021-08-30T00:00:00"/>
    <s v="Mechanical"/>
    <x v="0"/>
    <x v="0"/>
    <d v="2024-06-16T00:00:00"/>
    <x v="97"/>
    <x v="3"/>
    <x v="14"/>
    <x v="0"/>
  </r>
  <r>
    <x v="14"/>
    <x v="14"/>
    <s v="12.1"/>
    <s v="-7.2"/>
    <d v="2021-08-30T00:00:00"/>
    <s v="Mechanical"/>
    <x v="0"/>
    <x v="0"/>
    <d v="2024-07-16T00:00:00"/>
    <x v="98"/>
    <x v="1"/>
    <x v="14"/>
    <x v="0"/>
  </r>
  <r>
    <x v="15"/>
    <x v="15"/>
    <m/>
    <m/>
    <m/>
    <m/>
    <x v="2"/>
    <x v="3"/>
    <m/>
    <x v="99"/>
    <x v="25"/>
    <x v="1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s v="Borne Fontaine Sikasso Centre"/>
    <s v="Sikasso"/>
    <s v="Sikasso"/>
    <s v="11.3176"/>
    <s v="-5.6756"/>
    <d v="2022-03-15T00:00:00"/>
    <x v="0"/>
    <s v="Borne Fontaine"/>
    <s v="active"/>
    <d v="2024-01-15T00:00:00"/>
    <n v="47850"/>
    <n v="9500"/>
    <s v="Amadou Traoré"/>
    <m/>
  </r>
  <r>
    <s v="Borne Fontaine Sikasso Centre"/>
    <s v="Sikasso"/>
    <s v="Sikasso"/>
    <s v="11.3176"/>
    <s v="-5.6756"/>
    <d v="2022-03-15T00:00:00"/>
    <x v="0"/>
    <s v="Borne Fontaine"/>
    <s v="active"/>
    <d v="2024-02-15T00:00:00"/>
    <n v="47869"/>
    <n v="9500"/>
    <s v="Amadou Traoré"/>
    <m/>
  </r>
  <r>
    <s v="Borne Fontaine Sikasso Centre"/>
    <s v="Sikasso"/>
    <s v="Sikasso"/>
    <s v="11.3176"/>
    <s v="-5.6756"/>
    <d v="2022-03-15T00:00:00"/>
    <x v="0"/>
    <s v="Borne Fontaine"/>
    <s v="active"/>
    <d v="2024-03-15T00:00:00"/>
    <n v="47889"/>
    <n v="10000"/>
    <s v="Amadou Traoré"/>
    <m/>
  </r>
  <r>
    <s v="Borne Fontaine Sikasso Centre"/>
    <s v="Sikasso"/>
    <s v="Sikasso"/>
    <s v="11.3176"/>
    <s v="-5.6756"/>
    <d v="2022-03-15T00:00:00"/>
    <x v="0"/>
    <s v="Borne Fontaine"/>
    <s v="active"/>
    <d v="2024-04-15T00:00:00"/>
    <n v="47908"/>
    <n v="9500"/>
    <s v="Amadou Traoré"/>
    <m/>
  </r>
  <r>
    <s v="Borne Fontaine Sikasso Centre"/>
    <s v="Sikasso"/>
    <s v="Sikasso"/>
    <s v="11.3176"/>
    <s v="-5.6756"/>
    <d v="2022-03-15T00:00:00"/>
    <x v="0"/>
    <s v="Borne Fontaine"/>
    <s v="active"/>
    <d v="2024-05-15T00:00:00"/>
    <n v="47930"/>
    <n v="11000"/>
    <s v="Amadou Traoré"/>
    <m/>
  </r>
  <r>
    <s v="Borne Fontaine Sikasso Centre"/>
    <s v="Sikasso"/>
    <s v="Sikasso"/>
    <s v="11.3176"/>
    <s v="-5.6756"/>
    <d v="2022-03-15T00:00:00"/>
    <x v="0"/>
    <s v="Borne Fontaine"/>
    <s v="active"/>
    <d v="2024-06-15T00:00:00"/>
    <n v="47948"/>
    <n v="9000"/>
    <s v="Amadou Traoré"/>
    <m/>
  </r>
  <r>
    <s v="Borne Fontaine Sikasso Centre"/>
    <s v="Sikasso"/>
    <s v="Sikasso"/>
    <s v="11.3176"/>
    <s v="-5.6756"/>
    <d v="2022-03-15T00:00:00"/>
    <x v="0"/>
    <s v="Borne Fontaine"/>
    <s v="active"/>
    <d v="2024-07-15T00:00:00"/>
    <n v="47969"/>
    <n v="10500"/>
    <s v="Amadou Traoré"/>
    <m/>
  </r>
  <r>
    <s v="Connexion Privée Kaboila 1"/>
    <s v="Kaboila"/>
    <s v="Kaboila"/>
    <s v="11.2845"/>
    <s v="-5.7123"/>
    <d v="2021-11-20T00:00:00"/>
    <x v="1"/>
    <s v="Connexion Privée"/>
    <s v="active"/>
    <d v="2024-01-20T00:00:00"/>
    <n v="33980"/>
    <n v="2500"/>
    <s v="Fatoumata Keita"/>
    <m/>
  </r>
  <r>
    <s v="Connexion Privée Kaboila 1"/>
    <s v="Kaboila"/>
    <s v="Kaboila"/>
    <s v="11.2845"/>
    <s v="-5.7123"/>
    <d v="2021-11-20T00:00:00"/>
    <x v="1"/>
    <s v="Connexion Privée"/>
    <s v="active"/>
    <d v="2024-02-20T00:00:00"/>
    <n v="33985"/>
    <n v="2500"/>
    <s v="Fatoumata Keita"/>
    <m/>
  </r>
  <r>
    <s v="Connexion Privée Kaboila 1"/>
    <s v="Kaboila"/>
    <s v="Kaboila"/>
    <s v="11.2845"/>
    <s v="-5.7123"/>
    <d v="2021-11-20T00:00:00"/>
    <x v="1"/>
    <s v="Connexion Privée"/>
    <s v="active"/>
    <d v="2024-03-20T00:00:00"/>
    <n v="33991"/>
    <n v="3000"/>
    <s v="Fatoumata Keita"/>
    <m/>
  </r>
  <r>
    <s v="Connexion Privée Kaboila 1"/>
    <s v="Kaboila"/>
    <s v="Kaboila"/>
    <s v="11.2845"/>
    <s v="-5.7123"/>
    <d v="2021-11-20T00:00:00"/>
    <x v="1"/>
    <s v="Connexion Privée"/>
    <s v="active"/>
    <d v="2024-04-20T00:00:00"/>
    <n v="33996"/>
    <n v="2500"/>
    <s v="Fatoumata Keita"/>
    <m/>
  </r>
  <r>
    <s v="Connexion Privée Kaboila 1"/>
    <s v="Kaboila"/>
    <s v="Kaboila"/>
    <s v="11.2845"/>
    <s v="-5.7123"/>
    <d v="2021-11-20T00:00:00"/>
    <x v="1"/>
    <s v="Connexion Privée"/>
    <s v="active"/>
    <d v="2024-05-20T00:00:00"/>
    <n v="34002"/>
    <n v="3000"/>
    <s v="Fatoumata Keita"/>
    <m/>
  </r>
  <r>
    <s v="Connexion Privée Kaboila 1"/>
    <s v="Kaboila"/>
    <s v="Kaboila"/>
    <s v="11.2845"/>
    <s v="-5.7123"/>
    <d v="2021-11-20T00:00:00"/>
    <x v="1"/>
    <s v="Connexion Privée"/>
    <s v="active"/>
    <d v="2024-06-20T00:00:00"/>
    <n v="34007"/>
    <n v="2500"/>
    <s v="Fatoumata Keita"/>
    <s v=" "/>
  </r>
  <r>
    <s v="Connexion Privée Kaboila 1"/>
    <s v="Kaboila"/>
    <s v="Kaboila"/>
    <s v="11.2845"/>
    <s v="-5.7123"/>
    <d v="2021-11-20T00:00:00"/>
    <x v="1"/>
    <s v="Connexion Privée"/>
    <s v="active"/>
    <d v="2024-07-20T00:00:00"/>
    <n v="34013"/>
    <n v="3000"/>
    <s v="Fatoumata Keita"/>
    <m/>
  </r>
  <r>
    <s v="Borne Fontaine Pimperna"/>
    <s v="Pimperna"/>
    <s v="Pimperna"/>
    <s v="11.4012"/>
    <s v="-5.5234"/>
    <d v="2023-01-10T00:00:00"/>
    <x v="2"/>
    <s v="Borne Fontaine"/>
    <s v="active"/>
    <d v="2024-01-10T00:00:00"/>
    <n v="15890"/>
    <n v="13500"/>
    <s v="Seydou Diarra"/>
    <m/>
  </r>
  <r>
    <s v="Borne Fontaine Pimperna"/>
    <s v="Pimperna"/>
    <s v="Pimperna"/>
    <s v="11.4012"/>
    <s v="-5.5234"/>
    <d v="2023-01-10T00:00:00"/>
    <x v="2"/>
    <s v="Borne Fontaine"/>
    <s v="active"/>
    <d v="2024-02-10T00:00:00"/>
    <n v="15917"/>
    <n v="13500"/>
    <s v="Seydou Diarra"/>
    <m/>
  </r>
  <r>
    <s v="Borne Fontaine Pimperna"/>
    <s v="Pimperna"/>
    <s v="Pimperna"/>
    <s v="11.4012"/>
    <s v="-5.5234"/>
    <d v="2023-01-10T00:00:00"/>
    <x v="2"/>
    <s v="Borne Fontaine"/>
    <s v="active"/>
    <d v="2024-03-10T00:00:00"/>
    <n v="15946"/>
    <n v="14500"/>
    <s v="Seydou Diarra"/>
    <m/>
  </r>
  <r>
    <s v="Borne Fontaine Pimperna"/>
    <s v="Pimperna"/>
    <s v="Pimperna"/>
    <s v="11.4012"/>
    <s v="-5.5234"/>
    <d v="2023-01-10T00:00:00"/>
    <x v="2"/>
    <s v="Borne Fontaine"/>
    <s v="maintenance"/>
    <d v="2024-04-10T00:00:00"/>
    <n v="15946"/>
    <n v="0"/>
    <s v="Seydou Diarra"/>
    <s v="Pompe en panne"/>
  </r>
  <r>
    <s v="Borne Fontaine Pimperna"/>
    <s v="Pimperna"/>
    <s v="Pimperna"/>
    <s v="11.4012"/>
    <s v="-5.5234"/>
    <d v="2023-01-10T00:00:00"/>
    <x v="2"/>
    <s v="Borne Fontaine"/>
    <s v="maintenance"/>
    <d v="2024-05-10T00:00:00"/>
    <n v="15948"/>
    <n v="1000"/>
    <s v="Seydou Diarra"/>
    <s v="Réparation partielle"/>
  </r>
  <r>
    <s v="Borne Fontaine Pimperna"/>
    <s v="Pimperna"/>
    <s v="Pimperna"/>
    <s v="11.4012"/>
    <s v="-5.5234"/>
    <d v="2023-01-10T00:00:00"/>
    <x v="2"/>
    <s v="Borne Fontaine"/>
    <s v="active"/>
    <d v="2024-06-10T00:00:00"/>
    <n v="15984"/>
    <n v="18000"/>
    <s v="Seydou Diarra"/>
    <s v="Remis en service"/>
  </r>
  <r>
    <s v="Borne Fontaine Pimperna"/>
    <s v="Pimperna"/>
    <s v="Pimperna"/>
    <s v="11.4012"/>
    <s v="-5.5234"/>
    <d v="2023-01-10T00:00:00"/>
    <x v="2"/>
    <s v="Borne Fontaine"/>
    <s v="active"/>
    <d v="2024-07-10T00:00:00"/>
    <n v="16013"/>
    <n v="14500"/>
    <s v="Seydou Diarra"/>
    <m/>
  </r>
  <r>
    <s v="Connexion Privée Finkolo 2"/>
    <s v="Finkolo"/>
    <s v="Finkolo Gare"/>
    <s v="11.2567"/>
    <s v="-5.8901"/>
    <d v="2020-08-05T00:00:00"/>
    <x v="0"/>
    <s v="Connexion Privée"/>
    <s v="active"/>
    <d v="2024-01-25T00:00:00"/>
    <n v="30690"/>
    <n v="3000"/>
    <s v="Sekou Coulibaly"/>
    <m/>
  </r>
  <r>
    <s v="Connexion Privée Finkolo 2"/>
    <s v="Finkolo"/>
    <s v="Finkolo Gare"/>
    <s v="11.2567"/>
    <s v="-5.8901"/>
    <d v="2020-08-05T00:00:00"/>
    <x v="0"/>
    <s v="Connexion Privée"/>
    <s v="active"/>
    <d v="2024-02-25T00:00:00"/>
    <n v="30696"/>
    <n v="3000"/>
    <s v="Sekou Coulibaly"/>
    <m/>
  </r>
  <r>
    <s v="Connexion Privée Finkolo 2"/>
    <s v="Finkolo"/>
    <s v="Finkolo Gare"/>
    <s v="11.2567"/>
    <s v="-5.8901"/>
    <d v="2020-08-05T00:00:00"/>
    <x v="0"/>
    <s v="Connexion Privée"/>
    <s v="active"/>
    <d v="2024-03-25T00:00:00"/>
    <n v="30703"/>
    <n v="3500"/>
    <s v="Sekou Coulibaly"/>
    <m/>
  </r>
  <r>
    <s v="Connexion Privée Finkolo 2"/>
    <s v="Finkolo"/>
    <s v="Finkolo Gare"/>
    <s v="11.2567"/>
    <s v="-5.8901"/>
    <d v="2020-08-05T00:00:00"/>
    <x v="0"/>
    <s v="Connexion Privée"/>
    <s v="active"/>
    <d v="2024-04-25T00:00:00"/>
    <n v="30709"/>
    <n v="3000"/>
    <s v="Sekou Coulibaly"/>
    <m/>
  </r>
  <r>
    <s v="Connexion Privée Finkolo 2"/>
    <s v="Finkolo"/>
    <s v="Finkolo Gare"/>
    <s v="11.2567"/>
    <s v="-5.8901"/>
    <d v="2020-08-05T00:00:00"/>
    <x v="0"/>
    <s v="Connexion Privée"/>
    <s v="active"/>
    <d v="2024-05-25T00:00:00"/>
    <n v="30716"/>
    <n v="3500"/>
    <s v="Sekou Coulibaly"/>
    <m/>
  </r>
  <r>
    <s v="Connexion Privée Finkolo 2"/>
    <s v="Finkolo"/>
    <s v="Finkolo Gare"/>
    <s v="11.2567"/>
    <s v="-5.8901"/>
    <d v="2020-08-05T00:00:00"/>
    <x v="0"/>
    <s v="Connexion Privée"/>
    <s v="active"/>
    <d v="2024-06-25T00:00:00"/>
    <n v="30722"/>
    <n v="3000"/>
    <s v="Sekou Coulibaly"/>
    <m/>
  </r>
  <r>
    <s v="Connexion Privée Finkolo 2"/>
    <s v="Finkolo"/>
    <s v="Finkolo Gare"/>
    <s v="11.2567"/>
    <s v="-5.8901"/>
    <d v="2020-08-05T00:00:00"/>
    <x v="0"/>
    <s v="Connexion Privée"/>
    <s v="active"/>
    <d v="2024-07-25T00:00:00"/>
    <n v="30729"/>
    <n v="3500"/>
    <s v="Sekou Coulibaly"/>
    <m/>
  </r>
  <r>
    <s v="Borne Fontaine Blendio"/>
    <s v="Blendio"/>
    <s v="Blendio Centre"/>
    <s v="11.3789"/>
    <s v="-5.4567"/>
    <d v="2022-07-22T00:00:00"/>
    <x v="1"/>
    <s v="Borne Fontaine"/>
    <s v="inactive"/>
    <d v="2024-01-30T00:00:00"/>
    <n v="18950"/>
    <n v="0"/>
    <s v="Mariam Sidibé"/>
    <s v="Hors service"/>
  </r>
  <r>
    <s v="Borne Fontaine Blendio"/>
    <s v="Blendio"/>
    <s v="Blendio Centre"/>
    <s v="11.3789"/>
    <s v="-5.4567"/>
    <d v="2022-07-22T00:00:00"/>
    <x v="1"/>
    <s v="Borne Fontaine"/>
    <s v="inactive"/>
    <d v="2024-02-28T00:00:00"/>
    <n v="18950"/>
    <n v="0"/>
    <s v="Mariam Sidibé"/>
    <s v="Hors service"/>
  </r>
  <r>
    <s v="Borne Fontaine Blendio"/>
    <s v="Blendio"/>
    <s v="Blendio Centre"/>
    <s v="11.3789"/>
    <s v="-5.4567"/>
    <d v="2022-07-22T00:00:00"/>
    <x v="1"/>
    <s v="Borne Fontaine"/>
    <s v="inactive"/>
    <d v="2024-03-30T00:00:00"/>
    <n v="18952"/>
    <n v="1000"/>
    <s v="Mariam Sidibé"/>
    <s v="Test maintenance"/>
  </r>
  <r>
    <s v="Borne Fontaine Blendio"/>
    <s v="Blendio"/>
    <s v="Blendio Centre"/>
    <s v="11.3789"/>
    <s v="-5.4567"/>
    <d v="2022-07-22T00:00:00"/>
    <x v="1"/>
    <s v="Borne Fontaine"/>
    <s v="inactive"/>
    <d v="2024-04-30T00:00:00"/>
    <n v="18952"/>
    <n v="0"/>
    <s v="Mariam Sidibé"/>
    <s v="Hors service"/>
  </r>
  <r>
    <s v="Borne Fontaine Blendio"/>
    <s v="Blendio"/>
    <s v="Blendio Centre"/>
    <s v="11.3789"/>
    <s v="-5.4567"/>
    <d v="2022-07-22T00:00:00"/>
    <x v="1"/>
    <s v="Borne Fontaine"/>
    <s v="inactive"/>
    <d v="2024-05-30T00:00:00"/>
    <n v="18952"/>
    <n v="0"/>
    <s v="Mariam Sidibé"/>
    <s v="Hors service"/>
  </r>
  <r>
    <s v="Borne Fontaine Blendio"/>
    <s v="Blendio"/>
    <s v="Blendio Centre"/>
    <s v="11.3789"/>
    <s v="-5.4567"/>
    <d v="2022-07-22T00:00:00"/>
    <x v="1"/>
    <s v="Borne Fontaine"/>
    <s v="inactive"/>
    <d v="2024-06-30T00:00:00"/>
    <n v="18952"/>
    <n v="0"/>
    <s v="Mariam Sidibé"/>
    <s v="Hors service"/>
  </r>
  <r>
    <s v="Borne Fontaine Blendio"/>
    <s v="Blendio"/>
    <s v="Blendio Centre"/>
    <s v="11.3789"/>
    <s v="-5.4567"/>
    <d v="2022-07-22T00:00:00"/>
    <x v="1"/>
    <s v="Borne Fontaine"/>
    <s v="inactive"/>
    <d v="2024-07-30T00:00:00"/>
    <n v="18952"/>
    <n v="0"/>
    <s v="Mariam Sidibé"/>
    <s v="Hors service"/>
  </r>
  <r>
    <s v="Connexion Privée Yanfolila 3"/>
    <s v="Yanfolila"/>
    <s v="Yanfolila"/>
    <s v="11.1667"/>
    <s v="-8.1333"/>
    <d v="2021-05-12T00:00:00"/>
    <x v="0"/>
    <s v="Connexion Privée"/>
    <s v="active"/>
    <d v="2024-01-18T00:00:00"/>
    <n v="23650"/>
    <n v="2500"/>
    <s v="Ibrahim Cissé"/>
    <m/>
  </r>
  <r>
    <s v="Connexion Privée Yanfolila 3"/>
    <s v="Yanfolila"/>
    <s v="Yanfolila"/>
    <s v="11.1667"/>
    <s v="-8.1333"/>
    <d v="2021-05-12T00:00:00"/>
    <x v="0"/>
    <s v="Connexion Privée"/>
    <s v="active"/>
    <d v="2024-02-18T00:00:00"/>
    <n v="23655"/>
    <n v="2500"/>
    <s v="Ibrahim Cissé"/>
    <m/>
  </r>
  <r>
    <s v="Connexion Privée Yanfolila 3"/>
    <s v="Yanfolila"/>
    <s v="Yanfolila"/>
    <s v="11.1667"/>
    <s v="-8.1333"/>
    <d v="2021-05-12T00:00:00"/>
    <x v="0"/>
    <s v="Connexion Privée"/>
    <s v="active"/>
    <d v="2024-03-18T00:00:00"/>
    <n v="23661"/>
    <n v="3000"/>
    <s v="Ibrahim Cissé"/>
    <m/>
  </r>
  <r>
    <s v="Connexion Privée Yanfolila 3"/>
    <s v="Yanfolila"/>
    <s v="Yanfolila"/>
    <s v="11.1667"/>
    <s v="-8.1333"/>
    <d v="2021-05-12T00:00:00"/>
    <x v="0"/>
    <s v="Connexion Privée"/>
    <s v="active"/>
    <d v="2024-04-18T00:00:00"/>
    <n v="23666"/>
    <n v="2500"/>
    <s v="Ibrahim Cissé"/>
    <m/>
  </r>
  <r>
    <s v="Connexion Privée Yanfolila 3"/>
    <s v="Yanfolila"/>
    <s v="Yanfolila"/>
    <s v="11.1667"/>
    <s v="-8.1333"/>
    <d v="2021-05-12T00:00:00"/>
    <x v="0"/>
    <s v="Connexion Privée"/>
    <s v="active"/>
    <d v="2024-05-18T00:00:00"/>
    <n v="23672"/>
    <n v="3000"/>
    <s v="Ibrahim Cissé"/>
    <m/>
  </r>
  <r>
    <s v="Connexion Privée Yanfolila 3"/>
    <s v="Yanfolila"/>
    <s v="Yanfolila"/>
    <s v="11.1667"/>
    <s v="-8.1333"/>
    <d v="2021-05-12T00:00:00"/>
    <x v="0"/>
    <s v="Connexion Privée"/>
    <s v="active"/>
    <d v="2024-06-18T00:00:00"/>
    <n v="23676"/>
    <n v="2000"/>
    <s v="Ibrahim Cissé"/>
    <m/>
  </r>
  <r>
    <s v="Connexion Privée Yanfolila 3"/>
    <s v="Yanfolila"/>
    <s v="Yanfolila"/>
    <s v="11.1667"/>
    <s v="-8.1333"/>
    <d v="2021-05-12T00:00:00"/>
    <x v="0"/>
    <s v="Connexion Privée"/>
    <s v="active"/>
    <d v="2024-07-18T00:00:00"/>
    <n v="23682"/>
    <n v="3000"/>
    <s v="Ibrahim Cissé"/>
    <m/>
  </r>
  <r>
    <s v="Borne Fontaine Koutiala"/>
    <s v="Koutiala"/>
    <s v="Koutiala Centre"/>
    <s v="12.3833"/>
    <s v="-5.4667"/>
    <d v="2023-02-28T00:00:00"/>
    <x v="2"/>
    <s v="Borne Fontaine"/>
    <s v="active"/>
    <d v="2024-01-05T00:00:00"/>
    <n v="16420"/>
    <n v="18000"/>
    <s v="Aicha Doumbia"/>
    <m/>
  </r>
  <r>
    <s v="Borne Fontaine Koutiala"/>
    <s v="Koutiala"/>
    <s v="Koutiala Centre"/>
    <s v="12.3833"/>
    <s v="-5.4667"/>
    <d v="2023-02-28T00:00:00"/>
    <x v="2"/>
    <s v="Borne Fontaine"/>
    <s v="active"/>
    <d v="2024-02-05T00:00:00"/>
    <n v="16456"/>
    <n v="18000"/>
    <s v="Aicha Doumbia"/>
    <m/>
  </r>
  <r>
    <s v="Borne Fontaine Koutiala"/>
    <s v="Koutiala"/>
    <s v="Koutiala Centre"/>
    <s v="12.3833"/>
    <s v="-5.4667"/>
    <d v="2023-02-28T00:00:00"/>
    <x v="2"/>
    <s v="Borne Fontaine"/>
    <s v="active"/>
    <d v="2024-03-05T00:00:00"/>
    <n v="16494"/>
    <n v="19000"/>
    <s v="Aicha Doumbia"/>
    <m/>
  </r>
  <r>
    <s v="Borne Fontaine Koutiala"/>
    <s v="Koutiala"/>
    <s v="Koutiala Centre"/>
    <s v="12.3833"/>
    <s v="-5.4667"/>
    <d v="2023-02-28T00:00:00"/>
    <x v="2"/>
    <s v="Borne Fontaine"/>
    <s v="active"/>
    <d v="2024-04-05T00:00:00"/>
    <n v="16530"/>
    <n v="18000"/>
    <s v="Aicha Doumbia"/>
    <m/>
  </r>
  <r>
    <s v="Borne Fontaine Koutiala"/>
    <s v="Koutiala"/>
    <s v="Koutiala Centre"/>
    <s v="12.3833"/>
    <s v="-5.4667"/>
    <d v="2023-02-28T00:00:00"/>
    <x v="2"/>
    <s v="Borne Fontaine"/>
    <s v="active"/>
    <d v="2024-05-05T00:00:00"/>
    <n v="16568"/>
    <n v="19000"/>
    <s v="Aicha Doumbia"/>
    <m/>
  </r>
  <r>
    <s v="Borne Fontaine Koutiala"/>
    <s v="Koutiala"/>
    <s v="Koutiala Centre"/>
    <s v="12.3833"/>
    <s v="-5.4667"/>
    <d v="2023-02-28T00:00:00"/>
    <x v="2"/>
    <s v="Borne Fontaine"/>
    <s v="active"/>
    <d v="2024-06-05T00:00:00"/>
    <n v="16604"/>
    <n v="18000"/>
    <s v="Aicha Doumbia"/>
    <m/>
  </r>
  <r>
    <s v="Borne Fontaine Koutiala"/>
    <s v="Koutiala"/>
    <s v="Koutiala Centre"/>
    <s v="12.3833"/>
    <s v="-5.4667"/>
    <d v="2023-02-28T00:00:00"/>
    <x v="2"/>
    <s v="Borne Fontaine"/>
    <s v="active"/>
    <d v="2024-07-05T00:00:00"/>
    <n v="16642"/>
    <n v="19000"/>
    <s v="Aicha Doumbia"/>
    <m/>
  </r>
  <r>
    <s v="Connexion Privée Garalo 4"/>
    <s v="Garalo"/>
    <s v="Garalo"/>
    <s v="11.5667"/>
    <s v="-6.1833"/>
    <d v="2020-12-10T00:00:00"/>
    <x v="1"/>
    <s v="Connexion Privée"/>
    <s v="active"/>
    <d v="2024-01-12T00:00:00"/>
    <n v="36850"/>
    <n v="2000"/>
    <s v="Moussa Diakité"/>
    <m/>
  </r>
  <r>
    <s v="Connexion Privée Garalo 4"/>
    <s v="Garalo"/>
    <s v="Garalo"/>
    <s v="11.5667"/>
    <s v="-6.1833"/>
    <d v="2020-12-10T00:00:00"/>
    <x v="1"/>
    <s v="Connexion Privée"/>
    <s v="active"/>
    <d v="2024-02-12T00:00:00"/>
    <n v="36854"/>
    <n v="2000"/>
    <s v="Moussa Diakité"/>
    <m/>
  </r>
  <r>
    <s v="Connexion Privée Garalo 4"/>
    <s v="Garalo"/>
    <s v="Garalo"/>
    <s v="11.5667"/>
    <s v="-6.1833"/>
    <d v="2020-12-10T00:00:00"/>
    <x v="1"/>
    <s v="Connexion Privée"/>
    <s v="active"/>
    <d v="2024-03-12T00:00:00"/>
    <n v="36859"/>
    <n v="2500"/>
    <s v="Moussa Diakité"/>
    <m/>
  </r>
  <r>
    <s v="Connexion Privée Garalo 4"/>
    <s v="Garalo"/>
    <s v="Garalo"/>
    <s v="11.5667"/>
    <s v="-6.1833"/>
    <d v="2020-12-10T00:00:00"/>
    <x v="1"/>
    <s v="Connexion Privée"/>
    <s v="active"/>
    <d v="2024-04-12T00:00:00"/>
    <n v="36863"/>
    <n v="2000"/>
    <s v="Moussa Diakité"/>
    <m/>
  </r>
  <r>
    <s v="Connexion Privée Garalo 4"/>
    <s v="Garalo"/>
    <s v="Garalo"/>
    <s v="11.5667"/>
    <s v="-6.1833"/>
    <d v="2020-12-10T00:00:00"/>
    <x v="1"/>
    <s v="Connexion Privée"/>
    <s v="active"/>
    <d v="2024-05-12T00:00:00"/>
    <n v="36868"/>
    <n v="2500"/>
    <s v="Moussa Diakité"/>
    <m/>
  </r>
  <r>
    <s v="Connexion Privée Garalo 4"/>
    <s v="Garalo"/>
    <s v="Garalo"/>
    <s v="11.5667"/>
    <s v="-6.1833"/>
    <d v="2020-12-10T00:00:00"/>
    <x v="1"/>
    <s v="Connexion Privée"/>
    <s v="active"/>
    <d v="2024-06-12T00:00:00"/>
    <n v="36872"/>
    <n v="2000"/>
    <s v="Moussa Diakité"/>
    <m/>
  </r>
  <r>
    <s v="Connexion Privée Garalo 4"/>
    <s v="Garalo"/>
    <s v="Garalo"/>
    <s v="11.5667"/>
    <s v="-6.1833"/>
    <d v="2020-12-10T00:00:00"/>
    <x v="1"/>
    <s v="Connexion Privée"/>
    <s v="active"/>
    <d v="2024-07-12T00:00:00"/>
    <n v="36877"/>
    <n v="2500"/>
    <s v="Moussa Diakité"/>
    <m/>
  </r>
  <r>
    <s v="Borne Fontaine Bougouni"/>
    <s v="Bougouni"/>
    <s v="Bougouni"/>
    <s v="11.4167"/>
    <s v="-7.4833"/>
    <d v="2023-06-15T00:00:00"/>
    <x v="2"/>
    <s v="Borne Fontaine"/>
    <s v="active"/>
    <d v="2024-01-08T00:00:00"/>
    <n v="12980"/>
    <n v="24000"/>
    <s v="Aminata Camara"/>
    <m/>
  </r>
  <r>
    <s v="Borne Fontaine Bougouni"/>
    <s v="Bougouni"/>
    <s v="Bougouni"/>
    <s v="11.4167"/>
    <s v="-7.4833"/>
    <d v="2023-06-15T00:00:00"/>
    <x v="2"/>
    <s v="Borne Fontaine"/>
    <s v="active"/>
    <d v="2024-02-08T00:00:00"/>
    <n v="13028"/>
    <n v="24000"/>
    <s v="Aminata Camara"/>
    <m/>
  </r>
  <r>
    <s v="Borne Fontaine Bougouni"/>
    <s v="Bougouni"/>
    <s v="Bougouni"/>
    <s v="11.4167"/>
    <s v="-7.4833"/>
    <d v="2023-06-15T00:00:00"/>
    <x v="2"/>
    <s v="Borne Fontaine"/>
    <s v="active"/>
    <d v="2024-03-08T00:00:00"/>
    <n v="13078"/>
    <n v="25000"/>
    <s v="Aminata Camara"/>
    <m/>
  </r>
  <r>
    <s v="Borne Fontaine Bougouni"/>
    <s v="Bougouni"/>
    <s v="Bougouni"/>
    <s v="11.4167"/>
    <s v="-7.4833"/>
    <d v="2023-06-15T00:00:00"/>
    <x v="2"/>
    <s v="Borne Fontaine"/>
    <s v="active"/>
    <d v="2024-04-08T00:00:00"/>
    <n v="13126"/>
    <n v="24000"/>
    <s v="Aminata Camara"/>
    <m/>
  </r>
  <r>
    <s v="Borne Fontaine Bougouni"/>
    <s v="Bougouni"/>
    <s v="Bougouni"/>
    <s v="11.4167"/>
    <s v="-7.4833"/>
    <d v="2023-06-15T00:00:00"/>
    <x v="2"/>
    <s v="Borne Fontaine"/>
    <s v="active"/>
    <d v="2024-05-08T00:00:00"/>
    <n v="13176"/>
    <n v="25000"/>
    <s v="Aminata Camara"/>
    <m/>
  </r>
  <r>
    <s v="Borne Fontaine Bougouni"/>
    <s v="Bougouni"/>
    <s v="Bougouni"/>
    <s v="11.4167"/>
    <s v="-7.4833"/>
    <d v="2023-06-15T00:00:00"/>
    <x v="2"/>
    <s v="Borne Fontaine"/>
    <s v="active"/>
    <d v="2024-06-08T00:00:00"/>
    <n v="13224"/>
    <n v="24000"/>
    <s v="Aminata Camara"/>
    <m/>
  </r>
  <r>
    <s v="Borne Fontaine Bougouni"/>
    <s v="Bougouni"/>
    <s v="Bougouni"/>
    <s v="11.4167"/>
    <s v="-7.4833"/>
    <d v="2023-06-15T00:00:00"/>
    <x v="2"/>
    <s v="Borne Fontaine"/>
    <s v="active"/>
    <d v="2024-07-08T00:00:00"/>
    <n v="13274"/>
    <n v="25000"/>
    <s v="Aminata Camara"/>
    <m/>
  </r>
  <r>
    <s v="Borne Fontaine Kolondieba"/>
    <s v="Kolondieba"/>
    <s v="Kolondieba"/>
    <s v="11.0833"/>
    <s v="-6.9"/>
    <d v="2022-10-20T00:00:00"/>
    <x v="0"/>
    <s v="Borne Fontaine"/>
    <s v="active"/>
    <d v="2024-01-22T00:00:00"/>
    <n v="21750"/>
    <n v="8000"/>
    <s v="Bakary Sanogo"/>
    <m/>
  </r>
  <r>
    <s v="Borne Fontaine Kolondieba"/>
    <s v="Kolondieba"/>
    <s v="Kolondieba"/>
    <s v="11.0833"/>
    <s v="-6.9"/>
    <d v="2022-10-20T00:00:00"/>
    <x v="0"/>
    <s v="Borne Fontaine"/>
    <s v="active"/>
    <d v="2024-02-22T00:00:00"/>
    <n v="21766"/>
    <n v="8000"/>
    <s v="Bakary Sanogo"/>
    <m/>
  </r>
  <r>
    <s v="Borne Fontaine Kolondieba"/>
    <s v="Kolondieba"/>
    <s v="Kolondieba"/>
    <s v="11.0833"/>
    <s v="-6.9"/>
    <d v="2022-10-20T00:00:00"/>
    <x v="0"/>
    <s v="Borne Fontaine"/>
    <s v="active"/>
    <d v="2024-03-22T00:00:00"/>
    <n v="21784"/>
    <n v="9000"/>
    <s v="Bakary Sanogo"/>
    <m/>
  </r>
  <r>
    <s v="Borne Fontaine Kolondieba"/>
    <s v="Kolondieba"/>
    <s v="Kolondieba"/>
    <s v="11.0833"/>
    <s v="-6.9"/>
    <d v="2022-10-20T00:00:00"/>
    <x v="0"/>
    <s v="Borne Fontaine"/>
    <s v="active"/>
    <d v="2024-04-22T00:00:00"/>
    <n v="21800"/>
    <n v="8000"/>
    <s v="Bakary Sanogo"/>
    <m/>
  </r>
  <r>
    <s v="Borne Fontaine Kolondieba"/>
    <s v="Kolondieba"/>
    <s v="Kolondieba"/>
    <s v="11.0833"/>
    <s v="-6.9"/>
    <d v="2022-10-20T00:00:00"/>
    <x v="0"/>
    <s v="Borne Fontaine"/>
    <s v="active"/>
    <d v="2024-05-22T00:00:00"/>
    <n v="21818"/>
    <n v="9000"/>
    <s v="Bakary Sanogo"/>
    <m/>
  </r>
  <r>
    <s v="Borne Fontaine Kolondieba"/>
    <s v="Kolondieba"/>
    <s v="Kolondieba"/>
    <s v="11.0833"/>
    <s v="-6.9"/>
    <d v="2022-10-20T00:00:00"/>
    <x v="0"/>
    <s v="Borne Fontaine"/>
    <s v="active"/>
    <d v="2024-06-22T00:00:00"/>
    <n v="21834"/>
    <n v="8000"/>
    <s v="Bakary Sanogo"/>
    <m/>
  </r>
  <r>
    <s v="Borne Fontaine Kolondieba"/>
    <s v="Kolondieba"/>
    <s v="Kolondieba"/>
    <s v="11.0833"/>
    <s v="-6.9"/>
    <d v="2022-10-20T00:00:00"/>
    <x v="0"/>
    <s v="Borne Fontaine"/>
    <s v="active"/>
    <d v="2024-07-22T00:00:00"/>
    <n v="21852"/>
    <n v="9000"/>
    <s v="Bakary Sanogo"/>
    <m/>
  </r>
  <r>
    <s v="Connexion Privée Wassoulou 5"/>
    <s v="Wassoulou"/>
    <s v="Wassoulou Village"/>
    <s v="11.2"/>
    <s v="-7.8"/>
    <d v="2021-03-08T00:00:00"/>
    <x v="1"/>
    <s v="Connexion Privée"/>
    <s v="active"/>
    <d v="2024-01-14T00:00:00"/>
    <n v="27920"/>
    <n v="1500"/>
    <s v="Hawa Diallo"/>
    <m/>
  </r>
  <r>
    <s v="Connexion Privée Wassoulou 5"/>
    <s v="Wassoulou"/>
    <s v="Wassoulou Village"/>
    <s v="11.2"/>
    <s v="-7.8"/>
    <d v="2021-03-08T00:00:00"/>
    <x v="1"/>
    <s v="Connexion Privée"/>
    <s v="active"/>
    <d v="2024-02-14T00:00:00"/>
    <n v="27923"/>
    <n v="1500"/>
    <s v="Hawa Diallo"/>
    <m/>
  </r>
  <r>
    <s v="Connexion Privée Wassoulou 5"/>
    <s v="Wassoulou"/>
    <s v="Wassoulou Village"/>
    <s v="11.2"/>
    <s v="-7.8"/>
    <d v="2021-03-08T00:00:00"/>
    <x v="1"/>
    <s v="Connexion Privée"/>
    <s v="active"/>
    <d v="2024-03-14T00:00:00"/>
    <n v="27927"/>
    <n v="2000"/>
    <s v="Hawa Diallo"/>
    <m/>
  </r>
  <r>
    <s v="Connexion Privée Wassoulou 5"/>
    <s v="Wassoulou"/>
    <s v="Wassoulou Village"/>
    <s v="11.2"/>
    <s v="-7.8"/>
    <d v="2021-03-08T00:00:00"/>
    <x v="1"/>
    <s v="Connexion Privée"/>
    <s v="active"/>
    <d v="2024-04-14T00:00:00"/>
    <n v="27930"/>
    <n v="1500"/>
    <s v="Hawa Diallo"/>
    <m/>
  </r>
  <r>
    <s v="Connexion Privée Wassoulou 5"/>
    <s v="Wassoulou"/>
    <s v="Wassoulou Village"/>
    <s v="11.2"/>
    <s v="-7.8"/>
    <d v="2021-03-08T00:00:00"/>
    <x v="1"/>
    <s v="Connexion Privée"/>
    <s v="active"/>
    <d v="2024-05-14T00:00:00"/>
    <n v="27934"/>
    <n v="2000"/>
    <s v="Hawa Diallo"/>
    <m/>
  </r>
  <r>
    <s v="Connexion Privée Wassoulou 5"/>
    <s v="Wassoulou"/>
    <s v="Wassoulou Village"/>
    <s v="11.2"/>
    <s v="-7.8"/>
    <d v="2021-03-08T00:00:00"/>
    <x v="1"/>
    <s v="Connexion Privée"/>
    <s v="active"/>
    <d v="2024-06-14T00:00:00"/>
    <n v="27937"/>
    <n v="1500"/>
    <s v="Hawa Diallo"/>
    <m/>
  </r>
  <r>
    <s v="Connexion Privée Wassoulou 5"/>
    <s v="Wassoulou"/>
    <s v="Wassoulou Village"/>
    <s v="11.2"/>
    <s v="-7.8"/>
    <d v="2021-03-08T00:00:00"/>
    <x v="1"/>
    <s v="Connexion Privée"/>
    <s v="active"/>
    <d v="2024-07-14T00:00:00"/>
    <n v="27941"/>
    <n v="2000"/>
    <s v="Hawa Diallo"/>
    <m/>
  </r>
  <r>
    <s v="Borne Fontaine Dioila"/>
    <s v="Dioila"/>
    <s v="Dioila Centre"/>
    <s v="12.4833"/>
    <s v="-6.8"/>
    <d v="2023-09-12T00:00:00"/>
    <x v="2"/>
    <s v="Borne Fontaine"/>
    <s v="active"/>
    <d v="2024-01-03T00:00:00"/>
    <n v="14250"/>
    <n v="22000"/>
    <s v="Salif Traoré"/>
    <m/>
  </r>
  <r>
    <s v="Borne Fontaine Dioila"/>
    <s v="Dioila"/>
    <s v="Dioila Centre"/>
    <s v="12.4833"/>
    <s v="-6.8"/>
    <d v="2023-09-12T00:00:00"/>
    <x v="2"/>
    <s v="Borne Fontaine"/>
    <s v="active"/>
    <d v="2024-02-03T00:00:00"/>
    <n v="14294"/>
    <n v="22000"/>
    <s v="Salif Traoré"/>
    <m/>
  </r>
  <r>
    <s v="Borne Fontaine Dioila"/>
    <s v="Dioila"/>
    <s v="Dioila Centre"/>
    <s v="12.4833"/>
    <s v="-6.8"/>
    <d v="2023-09-12T00:00:00"/>
    <x v="2"/>
    <s v="Borne Fontaine"/>
    <s v="active"/>
    <d v="2024-03-03T00:00:00"/>
    <n v="14341"/>
    <n v="23500"/>
    <s v="Salif Traoré"/>
    <m/>
  </r>
  <r>
    <s v="Borne Fontaine Dioila"/>
    <s v="Dioila"/>
    <s v="Dioila Centre"/>
    <s v="12.4833"/>
    <s v="-6.8"/>
    <d v="2023-09-12T00:00:00"/>
    <x v="2"/>
    <s v="Borne Fontaine"/>
    <s v="active"/>
    <d v="2024-04-03T00:00:00"/>
    <n v="14385"/>
    <n v="22000"/>
    <s v="Salif Traoré"/>
    <m/>
  </r>
  <r>
    <s v="Borne Fontaine Dioila"/>
    <s v="Dioila"/>
    <s v="Dioila Centre"/>
    <s v="12.4833"/>
    <s v="-6.8"/>
    <d v="2023-09-12T00:00:00"/>
    <x v="2"/>
    <s v="Borne Fontaine"/>
    <s v="active"/>
    <d v="2024-05-03T00:00:00"/>
    <n v="14432"/>
    <n v="23500"/>
    <s v="Salif Traoré"/>
    <m/>
  </r>
  <r>
    <s v="Borne Fontaine Dioila"/>
    <s v="Dioila"/>
    <s v="Dioila Centre"/>
    <s v="12.4833"/>
    <s v="-6.8"/>
    <d v="2023-09-12T00:00:00"/>
    <x v="2"/>
    <s v="Borne Fontaine"/>
    <s v="active"/>
    <d v="2024-06-03T00:00:00"/>
    <n v="14476"/>
    <n v="22000"/>
    <s v="Salif Traoré"/>
    <m/>
  </r>
  <r>
    <s v="Borne Fontaine Dioila"/>
    <s v="Dioila"/>
    <s v="Dioila Centre"/>
    <s v="12.4833"/>
    <s v="-6.8"/>
    <d v="2023-09-12T00:00:00"/>
    <x v="2"/>
    <s v="Borne Fontaine"/>
    <s v="active"/>
    <d v="2024-07-03T00:00:00"/>
    <n v="14523"/>
    <n v="23500"/>
    <s v="Salif Traoré"/>
    <m/>
  </r>
  <r>
    <s v="Borne Fontaine Selingué"/>
    <s v="Selingué"/>
    <s v="Selingué Barrage"/>
    <s v="11.6"/>
    <s v="-8.3333"/>
    <d v="2020-01-15T00:00:00"/>
    <x v="0"/>
    <s v="Borne Fontaine"/>
    <s v="active"/>
    <d v="2024-01-28T00:00:00"/>
    <n v="45120"/>
    <n v="11000"/>
    <s v="Mariam Kone"/>
    <m/>
  </r>
  <r>
    <s v="Borne Fontaine Selingué"/>
    <s v="Selingué"/>
    <s v="Selingué Barrage"/>
    <s v="11.6"/>
    <s v="-8.3333"/>
    <d v="2020-01-15T00:00:00"/>
    <x v="0"/>
    <s v="Borne Fontaine"/>
    <s v="active"/>
    <d v="2024-02-28T00:00:00"/>
    <n v="45142"/>
    <n v="11000"/>
    <s v="Mariam Kone"/>
    <m/>
  </r>
  <r>
    <s v="Borne Fontaine Selingué"/>
    <s v="Selingué"/>
    <s v="Selingué Barrage"/>
    <s v="11.6"/>
    <s v="-8.3333"/>
    <d v="2020-01-15T00:00:00"/>
    <x v="0"/>
    <s v="Borne Fontaine"/>
    <s v="active"/>
    <d v="2024-03-28T00:00:00"/>
    <n v="45166"/>
    <n v="12000"/>
    <s v="Mariam Kone"/>
    <m/>
  </r>
  <r>
    <s v="Borne Fontaine Selingué"/>
    <s v="Selingué"/>
    <s v="Selingué Barrage"/>
    <s v="11.6"/>
    <s v="-8.3333"/>
    <d v="2020-01-15T00:00:00"/>
    <x v="0"/>
    <s v="Borne Fontaine"/>
    <s v="active"/>
    <d v="2024-04-28T00:00:00"/>
    <n v="45188"/>
    <n v="11000"/>
    <s v="Mariam Kone"/>
    <m/>
  </r>
  <r>
    <s v="Borne Fontaine Selingué"/>
    <s v="Selingué"/>
    <s v="Selingué Barrage"/>
    <s v="11.6"/>
    <s v="-8.3333"/>
    <d v="2020-01-15T00:00:00"/>
    <x v="0"/>
    <s v="Borne Fontaine"/>
    <s v="active"/>
    <d v="2024-05-28T00:00:00"/>
    <n v="45212"/>
    <n v="12000"/>
    <s v="Mariam Kone"/>
    <m/>
  </r>
  <r>
    <s v="Borne Fontaine Selingué"/>
    <s v="Selingué"/>
    <s v="Selingué Barrage"/>
    <s v="11.6"/>
    <s v="-8.3333"/>
    <d v="2020-01-15T00:00:00"/>
    <x v="0"/>
    <s v="Borne Fontaine"/>
    <s v="active"/>
    <d v="2024-06-28T00:00:00"/>
    <n v="45228"/>
    <n v="8000"/>
    <s v="Mariam Kone"/>
    <m/>
  </r>
  <r>
    <s v="Borne Fontaine Selingué"/>
    <s v="Selingué"/>
    <s v="Selingué Barrage"/>
    <s v="11.6"/>
    <s v="-8.3333"/>
    <d v="2020-01-15T00:00:00"/>
    <x v="0"/>
    <s v="Borne Fontaine"/>
    <s v="active"/>
    <d v="2024-07-28T00:00:00"/>
    <n v="45252"/>
    <n v="12000"/>
    <s v="Mariam Kone"/>
    <m/>
  </r>
  <r>
    <s v="Borne Fontaine Kita"/>
    <s v="Kita"/>
    <s v="Kita Centre"/>
    <s v="13.0333"/>
    <s v="-9.4833"/>
    <d v="2022-05-25T00:00:00"/>
    <x v="1"/>
    <s v="Borne Fontaine"/>
    <s v="active"/>
    <d v="2024-01-06T00:00:00"/>
    <n v="24620"/>
    <n v="16500"/>
    <s v="Ousmane Keita"/>
    <s v="Anomalie compteur possible"/>
  </r>
  <r>
    <s v="Borne Fontaine Kita"/>
    <s v="Kita"/>
    <s v="Kita Centre"/>
    <s v="13.0333"/>
    <s v="-9.4833"/>
    <d v="2022-05-25T00:00:00"/>
    <x v="1"/>
    <s v="Borne Fontaine"/>
    <s v="active"/>
    <d v="2024-02-06T00:00:00"/>
    <n v="24653"/>
    <n v="16500"/>
    <s v="Ousmane Keita"/>
    <m/>
  </r>
  <r>
    <s v="Borne Fontaine Kita"/>
    <s v="Kita"/>
    <s v="Kita Centre"/>
    <s v="13.0333"/>
    <s v="-9.4833"/>
    <d v="2022-05-25T00:00:00"/>
    <x v="1"/>
    <s v="Borne Fontaine"/>
    <s v="active"/>
    <d v="2024-03-06T00:00:00"/>
    <n v="24687"/>
    <n v="17000"/>
    <s v="Ousmane Keita"/>
    <m/>
  </r>
  <r>
    <s v="Borne Fontaine Kita"/>
    <s v="Kita"/>
    <s v="Kita Centre"/>
    <s v="13.0333"/>
    <s v="-9.4833"/>
    <d v="2022-05-25T00:00:00"/>
    <x v="1"/>
    <s v="Borne Fontaine"/>
    <s v="active"/>
    <d v="2024-04-06T00:00:00"/>
    <n v="24720"/>
    <n v="16500"/>
    <s v="Ousmane Keita"/>
    <m/>
  </r>
  <r>
    <s v="Borne Fontaine Kita"/>
    <s v="Kita"/>
    <s v="Kita Centre"/>
    <s v="13.0333"/>
    <s v="-9.4833"/>
    <d v="2022-05-25T00:00:00"/>
    <x v="1"/>
    <s v="Borne Fontaine"/>
    <s v="active"/>
    <d v="2024-05-06T00:00:00"/>
    <n v="24754"/>
    <n v="17000"/>
    <s v="Ousmane Keita"/>
    <m/>
  </r>
  <r>
    <s v="Borne Fontaine Kita"/>
    <s v="Kita"/>
    <s v="Kita Centre"/>
    <s v="13.0333"/>
    <s v="-9.4833"/>
    <d v="2022-05-25T00:00:00"/>
    <x v="1"/>
    <s v="Borne Fontaine"/>
    <s v="active"/>
    <d v="2024-06-06T00:00:00"/>
    <n v="24787"/>
    <n v="16500"/>
    <s v="Ousmane Keita"/>
    <m/>
  </r>
  <r>
    <s v="Borne Fontaine Kita"/>
    <s v="Kita"/>
    <s v="Kita Centre"/>
    <s v="13.0333"/>
    <s v="-9.4833"/>
    <d v="2022-05-25T00:00:00"/>
    <x v="1"/>
    <s v="Borne Fontaine"/>
    <s v="active"/>
    <d v="2024-07-06T00:00:00"/>
    <n v="24750"/>
    <n v="-8500"/>
    <s v="Ousmane Keita"/>
    <s v="Compteur défaillant - relevé impossible"/>
  </r>
  <r>
    <s v="Borne Fontaine Mandé"/>
    <s v="Mandé"/>
    <s v="Mandé Village"/>
    <s v="12.1"/>
    <s v="-7.2"/>
    <d v="2021-08-30T00:00:00"/>
    <x v="0"/>
    <s v="Borne Fontaine"/>
    <s v="active"/>
    <d v="2024-01-16T00:00:00"/>
    <n v="33180"/>
    <n v="9000"/>
    <s v="Adama Coulibaly"/>
    <m/>
  </r>
  <r>
    <s v="Borne Fontaine Mandé"/>
    <s v="Mandé"/>
    <s v="Mandé Village"/>
    <s v="12.1"/>
    <s v="-7.2"/>
    <d v="2021-08-30T00:00:00"/>
    <x v="0"/>
    <s v="Borne Fontaine"/>
    <s v="active"/>
    <d v="2024-02-16T00:00:00"/>
    <n v="33198"/>
    <n v="9000"/>
    <s v="Adama Coulibaly"/>
    <m/>
  </r>
  <r>
    <s v="Borne Fontaine Mandé"/>
    <s v="Mandé"/>
    <s v="Mandé Village"/>
    <s v="12.1"/>
    <s v="-7.2"/>
    <d v="2021-08-30T00:00:00"/>
    <x v="0"/>
    <s v="Borne Fontaine"/>
    <s v="active"/>
    <d v="2024-03-16T00:00:00"/>
    <n v="33218"/>
    <n v="10000"/>
    <s v="Adama Coulibaly"/>
    <m/>
  </r>
  <r>
    <s v="Borne Fontaine Mandé"/>
    <s v="Mandé"/>
    <s v="Mandé Village"/>
    <s v="12.1"/>
    <s v="-7.2"/>
    <d v="2021-08-30T00:00:00"/>
    <x v="0"/>
    <s v="Borne Fontaine"/>
    <s v="active"/>
    <d v="2024-04-16T00:00:00"/>
    <n v="33236"/>
    <n v="9000"/>
    <s v="Adama Coulibaly"/>
    <m/>
  </r>
  <r>
    <s v="Borne Fontaine Mandé"/>
    <s v="Mandé"/>
    <s v="Mandé Village"/>
    <s v="12.1"/>
    <s v="-7.2"/>
    <d v="2021-08-30T00:00:00"/>
    <x v="0"/>
    <s v="Borne Fontaine"/>
    <s v="active"/>
    <d v="2024-05-16T00:00:00"/>
    <n v="33256"/>
    <n v="10000"/>
    <s v="Adama Coulibaly"/>
    <m/>
  </r>
  <r>
    <s v="Borne Fontaine Mandé"/>
    <s v="Mandé"/>
    <s v="Mandé Village"/>
    <s v="12.1"/>
    <s v="-7.2"/>
    <d v="2021-08-30T00:00:00"/>
    <x v="0"/>
    <s v="Borne Fontaine"/>
    <s v="active"/>
    <d v="2024-06-16T00:00:00"/>
    <n v="33274"/>
    <n v="9000"/>
    <s v="Adama Coulibaly"/>
    <m/>
  </r>
  <r>
    <s v="Borne Fontaine Mandé"/>
    <s v="Mandé"/>
    <s v="Mandé Village"/>
    <s v="12.1"/>
    <s v="-7.2"/>
    <d v="2021-08-30T00:00:00"/>
    <x v="0"/>
    <s v="Borne Fontaine"/>
    <s v="active"/>
    <d v="2024-07-16T00:00:00"/>
    <n v="33294"/>
    <n v="10000"/>
    <s v="Adama Coulibal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E55EAE-E6EB-4777-887A-82024C6CFDED}" name="Tableau croisé dynamique1" cacheId="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4:D19" firstHeaderRow="0" firstDataRow="1" firstDataCol="1" rowPageCount="2" colPageCount="1"/>
  <pivotFields count="13">
    <pivotField axis="axisRow" dataField="1" showAll="0">
      <items count="17">
        <item x="4"/>
        <item x="8"/>
        <item x="11"/>
        <item x="3"/>
        <item x="7"/>
        <item x="1"/>
        <item x="13"/>
        <item x="9"/>
        <item x="6"/>
        <item x="14"/>
        <item x="2"/>
        <item x="12"/>
        <item x="0"/>
        <item x="10"/>
        <item x="5"/>
        <item h="1" x="15"/>
        <item t="default"/>
      </items>
    </pivotField>
    <pivotField showAll="0">
      <items count="17">
        <item x="4"/>
        <item x="8"/>
        <item x="11"/>
        <item x="3"/>
        <item x="7"/>
        <item x="1"/>
        <item x="13"/>
        <item x="9"/>
        <item x="6"/>
        <item x="14"/>
        <item x="2"/>
        <item x="12"/>
        <item x="0"/>
        <item x="10"/>
        <item x="5"/>
        <item x="15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5">
        <item x="0"/>
        <item h="1" x="2"/>
        <item h="1" x="1"/>
        <item h="1" x="3"/>
        <item t="default"/>
      </items>
    </pivotField>
    <pivotField showAll="0"/>
    <pivotField dataField="1" showAll="0"/>
    <pivotField dataField="1" showAll="0">
      <items count="27">
        <item x="24"/>
        <item x="9"/>
        <item x="10"/>
        <item x="18"/>
        <item x="13"/>
        <item x="5"/>
        <item x="6"/>
        <item x="12"/>
        <item x="17"/>
        <item x="3"/>
        <item x="0"/>
        <item x="1"/>
        <item x="4"/>
        <item x="2"/>
        <item x="21"/>
        <item x="7"/>
        <item x="8"/>
        <item x="22"/>
        <item x="23"/>
        <item x="11"/>
        <item x="14"/>
        <item x="19"/>
        <item x="20"/>
        <item x="15"/>
        <item x="16"/>
        <item x="25"/>
        <item t="default"/>
      </items>
    </pivotField>
    <pivotField showAll="0">
      <items count="17">
        <item x="14"/>
        <item x="6"/>
        <item x="0"/>
        <item x="8"/>
        <item x="9"/>
        <item x="1"/>
        <item x="10"/>
        <item x="5"/>
        <item x="12"/>
        <item x="4"/>
        <item x="7"/>
        <item x="13"/>
        <item x="11"/>
        <item x="3"/>
        <item x="2"/>
        <item x="15"/>
        <item t="default"/>
      </items>
    </pivotField>
    <pivotField axis="axisPage" multipleItemSelectionAllowed="1" showAll="0">
      <items count="10">
        <item x="1"/>
        <item h="1" x="7"/>
        <item h="1" x="8"/>
        <item h="1" x="5"/>
        <item h="1" x="2"/>
        <item h="1" x="4"/>
        <item h="1" x="3"/>
        <item h="1" x="6"/>
        <item x="0"/>
        <item t="default"/>
      </items>
    </pivotField>
  </pivotFields>
  <rowFields count="1">
    <field x="0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7" hier="-1"/>
    <pageField fld="12" hier="-1"/>
  </pageFields>
  <dataFields count="3">
    <dataField name="Nombre de commune" fld="0" subtotal="count" baseField="0" baseItem="0"/>
    <dataField name="Somme de meter_index" fld="9" baseField="0" baseItem="0"/>
    <dataField name="Somme de revenue_fcfa" fld="10" baseField="0" baseItem="0"/>
  </dataFields>
  <formats count="8">
    <format dxfId="7">
      <pivotArea collapsedLevelsAreSubtotals="1" fieldPosition="0">
        <references count="2">
          <reference field="4294967294" count="1" selected="0">
            <x v="1"/>
          </reference>
          <reference field="0" count="1">
            <x v="12"/>
          </reference>
        </references>
      </pivotArea>
    </format>
    <format dxfId="6">
      <pivotArea dataOnly="0" labelOnly="1" fieldPosition="0">
        <references count="1">
          <reference field="0" count="1">
            <x v="12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2"/>
          </reference>
          <reference field="0" count="1">
            <x v="1"/>
          </reference>
        </references>
      </pivotArea>
    </format>
    <format dxfId="4">
      <pivotArea dataOnly="0" labelOnly="1" fieldPosition="0">
        <references count="1">
          <reference field="0" count="1">
            <x v="1"/>
          </reference>
        </references>
      </pivotArea>
    </format>
    <format dxfId="3">
      <pivotArea collapsedLevelsAreSubtotals="1" fieldPosition="0">
        <references count="1">
          <reference field="0" count="0"/>
        </references>
      </pivotArea>
    </format>
    <format dxfId="2">
      <pivotArea collapsedLevelsAreSubtotals="1" fieldPosition="0">
        <references count="2">
          <reference field="4294967294" count="1" selected="0">
            <x v="1"/>
          </reference>
          <reference field="0" count="1">
            <x v="1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2"/>
          </reference>
          <reference field="0" count="1">
            <x v="12"/>
          </reference>
        </references>
      </pivotArea>
    </format>
    <format dxfId="0">
      <pivotArea grandRow="1" outline="0" collapsedLevelsAreSubtotals="1" fieldPosition="0"/>
    </format>
  </formats>
  <conditionalFormats count="1">
    <conditionalFormat priority="5">
      <pivotAreas count="1">
        <pivotArea type="data" collapsedLevelsAreSubtotals="1" fieldPosition="0">
          <references count="1">
            <reference field="0" count="1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70C6C-A552-4D05-9A0C-51C37C45283C}" name="Tableau croisé dynamique5" cacheId="3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55:D59" firstHeaderRow="0" firstDataRow="1" firstDataCol="1"/>
  <pivotFields count="14">
    <pivotField showAll="0"/>
    <pivotField showAll="0"/>
    <pivotField showAll="0"/>
    <pivotField showAll="0"/>
    <pivotField showAll="0"/>
    <pivotField numFmtId="14"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numFmtId="14" showAll="0"/>
    <pivotField dataField="1" showAll="0"/>
    <pivotField dataField="1"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ombre de meter_type" fld="6" subtotal="count" baseField="0" baseItem="0"/>
    <dataField name="Somme de meter_index" fld="10" baseField="0" baseItem="0" numFmtId="41"/>
    <dataField name="Somme de revenue_fcfa" fld="11" baseField="0" baseItem="0" numFmtId="41"/>
  </dataFields>
  <formats count="7">
    <format dxfId="14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13">
      <pivotArea dataOnly="0" labelOnly="1" fieldPosition="0">
        <references count="1">
          <reference field="6" count="1">
            <x v="2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2"/>
          </reference>
          <reference field="6" count="1">
            <x v="2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1"/>
          </reference>
          <reference field="6" count="1">
            <x v="1"/>
          </reference>
        </references>
      </pivotArea>
    </format>
    <format dxfId="10">
      <pivotArea dataOnly="0" labelOnly="1" fieldPosition="0">
        <references count="1">
          <reference field="6" count="1">
            <x v="1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2"/>
          </reference>
          <reference field="6" count="1">
            <x v="1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1"/>
          </reference>
          <reference field="6" count="1">
            <x v="2"/>
          </reference>
        </references>
      </pivotArea>
    </format>
  </formats>
  <conditionalFormats count="1">
    <conditionalFormat priority="2">
      <pivotAreas count="1">
        <pivotArea type="data" collapsedLevelsAreSubtotals="1" fieldPosition="0">
          <references count="1">
            <reference field="6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8A098B-BE8C-4ACB-8D89-C745E8B6F8F8}" name="Tableau croisé dynamique4" cacheId="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40:E49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axis="axisRow" showAll="0">
      <items count="10">
        <item h="1" x="1"/>
        <item x="7"/>
        <item x="8"/>
        <item x="5"/>
        <item x="2"/>
        <item x="4"/>
        <item x="3"/>
        <item x="6"/>
        <item h="1" x="0"/>
        <item t="default"/>
      </items>
    </pivotField>
  </pivotFields>
  <rowFields count="1">
    <field x="12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Nombre de status" fld="7" subtotal="count" baseField="0" baseItem="0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7" count="3" selected="0">
              <x v="0"/>
              <x v="1"/>
              <x v="2"/>
            </reference>
            <reference field="12" count="7"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865F77-0420-47B3-9550-DD100EB4EEF2}" name="Tableau croisé dynamique3" cacheId="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1:D35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1"/>
        <item h="1" x="3"/>
        <item t="default"/>
      </items>
    </pivotField>
    <pivotField showAll="0"/>
    <pivotField dataField="1" showAll="0"/>
    <pivotField dataField="1"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ombre de status" fld="7" subtotal="count" baseField="0" baseItem="0"/>
    <dataField name="Somme de meter_index" fld="9" baseField="0" baseItem="0" numFmtId="41"/>
    <dataField name="Somme de revenue_fcfa" fld="10" baseField="0" baseItem="0" numFmtId="41"/>
  </dataFields>
  <formats count="1">
    <format dxfId="15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conditionalFormats count="1">
    <conditionalFormat priority="3">
      <pivotAreas count="1">
        <pivotArea type="data" collapsedLevelsAreSubtotals="1" fieldPosition="0">
          <references count="1">
            <reference field="7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1B505-DDE9-490F-A9F2-7D2DE405F8BC}" name="Tableau croisé dynamique2" cacheId="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24:D27" firstHeaderRow="0" firstDataRow="1" firstDataCol="1"/>
  <pivotFields count="13">
    <pivotField showAll="0">
      <items count="17">
        <item x="4"/>
        <item x="8"/>
        <item x="11"/>
        <item x="3"/>
        <item x="7"/>
        <item x="1"/>
        <item x="13"/>
        <item x="9"/>
        <item x="6"/>
        <item x="14"/>
        <item x="2"/>
        <item x="12"/>
        <item x="0"/>
        <item x="10"/>
        <item x="5"/>
        <item x="15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h="1" x="2"/>
        <item t="default"/>
      </items>
    </pivotField>
    <pivotField showAll="0"/>
    <pivotField showAll="0"/>
    <pivotField dataField="1" showAll="0">
      <items count="101">
        <item x="50"/>
        <item x="51"/>
        <item x="52"/>
        <item x="53"/>
        <item x="54"/>
        <item x="55"/>
        <item x="56"/>
        <item x="71"/>
        <item x="72"/>
        <item x="73"/>
        <item x="74"/>
        <item x="75"/>
        <item x="76"/>
        <item x="77"/>
        <item x="14"/>
        <item x="15"/>
        <item x="16"/>
        <item x="17"/>
        <item x="18"/>
        <item x="19"/>
        <item x="36"/>
        <item x="37"/>
        <item x="38"/>
        <item x="39"/>
        <item x="40"/>
        <item x="41"/>
        <item x="42"/>
        <item x="27"/>
        <item x="28"/>
        <item x="57"/>
        <item x="58"/>
        <item x="59"/>
        <item x="60"/>
        <item x="61"/>
        <item x="62"/>
        <item x="63"/>
        <item x="29"/>
        <item x="30"/>
        <item x="31"/>
        <item x="32"/>
        <item x="33"/>
        <item x="34"/>
        <item x="35"/>
        <item x="85"/>
        <item x="86"/>
        <item x="87"/>
        <item x="88"/>
        <item x="91"/>
        <item x="89"/>
        <item x="90"/>
        <item x="64"/>
        <item x="65"/>
        <item x="66"/>
        <item x="67"/>
        <item x="68"/>
        <item x="69"/>
        <item x="70"/>
        <item x="20"/>
        <item x="21"/>
        <item x="22"/>
        <item x="23"/>
        <item x="24"/>
        <item x="25"/>
        <item x="26"/>
        <item x="92"/>
        <item x="93"/>
        <item x="94"/>
        <item x="95"/>
        <item x="96"/>
        <item x="97"/>
        <item x="98"/>
        <item x="7"/>
        <item x="8"/>
        <item x="9"/>
        <item x="10"/>
        <item x="11"/>
        <item x="12"/>
        <item x="13"/>
        <item x="43"/>
        <item x="44"/>
        <item x="45"/>
        <item x="46"/>
        <item x="47"/>
        <item x="48"/>
        <item x="49"/>
        <item x="78"/>
        <item x="79"/>
        <item x="80"/>
        <item x="81"/>
        <item x="82"/>
        <item x="83"/>
        <item x="84"/>
        <item x="0"/>
        <item x="1"/>
        <item x="2"/>
        <item x="3"/>
        <item x="4"/>
        <item x="5"/>
        <item x="6"/>
        <item x="99"/>
        <item t="default"/>
      </items>
    </pivotField>
    <pivotField dataField="1"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ombre de connection_type" fld="6" subtotal="count" baseField="0" baseItem="0"/>
    <dataField name="Somme de meter_index" fld="9" baseField="0" baseItem="0"/>
    <dataField name="Somme de revenue_fcfa" fld="10" baseField="0" baseItem="0"/>
  </dataFields>
  <formats count="1">
    <format dxfId="16">
      <pivotArea outline="0" collapsedLevelsAreSubtotals="1" fieldPosition="0"/>
    </format>
  </formats>
  <conditionalFormats count="1">
    <conditionalFormat priority="4">
      <pivotAreas count="1">
        <pivotArea type="data" collapsedLevelsAreSubtotals="1" fieldPosition="0">
          <references count="1">
            <reference field="6" count="2">
              <x v="0"/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6"/>
  <sheetViews>
    <sheetView tabSelected="1" zoomScale="130" zoomScaleNormal="130" workbookViewId="0">
      <selection activeCell="L32" sqref="L32"/>
    </sheetView>
  </sheetViews>
  <sheetFormatPr baseColWidth="10" defaultColWidth="12.5703125" defaultRowHeight="15.75" customHeight="1" x14ac:dyDescent="0.2"/>
  <cols>
    <col min="1" max="1" width="27.28515625" bestFit="1" customWidth="1"/>
    <col min="3" max="3" width="16.5703125" bestFit="1" customWidth="1"/>
    <col min="6" max="6" width="16.140625" bestFit="1" customWidth="1"/>
    <col min="8" max="8" width="15.85546875" bestFit="1" customWidth="1"/>
    <col min="10" max="10" width="13" bestFit="1" customWidth="1"/>
    <col min="11" max="11" width="12.42578125" bestFit="1" customWidth="1"/>
    <col min="12" max="12" width="12.7109375" bestFit="1" customWidth="1"/>
    <col min="13" max="13" width="15" bestFit="1" customWidth="1"/>
    <col min="14" max="14" width="33.28515625" bestFit="1" customWidth="1"/>
  </cols>
  <sheetData>
    <row r="1" spans="1:14" s="4" customFormat="1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">
      <c r="A2" s="1" t="s">
        <v>14</v>
      </c>
      <c r="B2" t="s">
        <v>15</v>
      </c>
      <c r="C2" t="s">
        <v>15</v>
      </c>
      <c r="D2" t="s">
        <v>16</v>
      </c>
      <c r="E2" t="s">
        <v>17</v>
      </c>
      <c r="F2" s="2">
        <v>44635</v>
      </c>
      <c r="G2" t="s">
        <v>18</v>
      </c>
      <c r="H2" t="s">
        <v>19</v>
      </c>
      <c r="I2" t="s">
        <v>20</v>
      </c>
      <c r="J2" s="2">
        <v>45306</v>
      </c>
      <c r="K2">
        <v>47850</v>
      </c>
      <c r="L2">
        <v>9500</v>
      </c>
      <c r="M2" t="s">
        <v>21</v>
      </c>
    </row>
    <row r="3" spans="1:14" x14ac:dyDescent="0.2">
      <c r="A3" s="1" t="s">
        <v>14</v>
      </c>
      <c r="B3" t="s">
        <v>15</v>
      </c>
      <c r="C3" t="s">
        <v>15</v>
      </c>
      <c r="D3" t="s">
        <v>16</v>
      </c>
      <c r="E3" t="s">
        <v>17</v>
      </c>
      <c r="F3" s="2">
        <v>44635</v>
      </c>
      <c r="G3" t="s">
        <v>18</v>
      </c>
      <c r="H3" t="s">
        <v>19</v>
      </c>
      <c r="I3" t="s">
        <v>20</v>
      </c>
      <c r="J3" s="2">
        <v>45337</v>
      </c>
      <c r="K3">
        <v>47869</v>
      </c>
      <c r="L3">
        <v>9500</v>
      </c>
      <c r="M3" t="s">
        <v>21</v>
      </c>
    </row>
    <row r="4" spans="1:14" x14ac:dyDescent="0.2">
      <c r="A4" s="1" t="s">
        <v>14</v>
      </c>
      <c r="B4" t="s">
        <v>15</v>
      </c>
      <c r="C4" t="s">
        <v>15</v>
      </c>
      <c r="D4" t="s">
        <v>16</v>
      </c>
      <c r="E4" t="s">
        <v>17</v>
      </c>
      <c r="F4" s="2">
        <v>44635</v>
      </c>
      <c r="G4" t="s">
        <v>18</v>
      </c>
      <c r="H4" t="s">
        <v>19</v>
      </c>
      <c r="I4" t="s">
        <v>20</v>
      </c>
      <c r="J4" s="2">
        <v>45366</v>
      </c>
      <c r="K4">
        <v>47889</v>
      </c>
      <c r="L4">
        <v>10000</v>
      </c>
      <c r="M4" t="s">
        <v>21</v>
      </c>
    </row>
    <row r="5" spans="1:14" x14ac:dyDescent="0.2">
      <c r="A5" s="1" t="s">
        <v>14</v>
      </c>
      <c r="B5" t="s">
        <v>15</v>
      </c>
      <c r="C5" t="s">
        <v>15</v>
      </c>
      <c r="D5" t="s">
        <v>16</v>
      </c>
      <c r="E5" t="s">
        <v>17</v>
      </c>
      <c r="F5" s="2">
        <v>44635</v>
      </c>
      <c r="G5" t="s">
        <v>18</v>
      </c>
      <c r="H5" t="s">
        <v>19</v>
      </c>
      <c r="I5" t="s">
        <v>20</v>
      </c>
      <c r="J5" s="2">
        <v>45397</v>
      </c>
      <c r="K5">
        <v>47908</v>
      </c>
      <c r="L5">
        <v>9500</v>
      </c>
      <c r="M5" t="s">
        <v>21</v>
      </c>
    </row>
    <row r="6" spans="1:14" x14ac:dyDescent="0.2">
      <c r="A6" s="1" t="s">
        <v>14</v>
      </c>
      <c r="B6" t="s">
        <v>15</v>
      </c>
      <c r="C6" t="s">
        <v>15</v>
      </c>
      <c r="D6" t="s">
        <v>16</v>
      </c>
      <c r="E6" t="s">
        <v>17</v>
      </c>
      <c r="F6" s="2">
        <v>44635</v>
      </c>
      <c r="G6" t="s">
        <v>18</v>
      </c>
      <c r="H6" t="s">
        <v>19</v>
      </c>
      <c r="I6" t="s">
        <v>20</v>
      </c>
      <c r="J6" s="2">
        <v>45427</v>
      </c>
      <c r="K6">
        <v>47930</v>
      </c>
      <c r="L6">
        <v>11000</v>
      </c>
      <c r="M6" t="s">
        <v>21</v>
      </c>
    </row>
    <row r="7" spans="1:14" x14ac:dyDescent="0.2">
      <c r="A7" s="1" t="s">
        <v>14</v>
      </c>
      <c r="B7" t="s">
        <v>15</v>
      </c>
      <c r="C7" t="s">
        <v>15</v>
      </c>
      <c r="D7" t="s">
        <v>16</v>
      </c>
      <c r="E7" t="s">
        <v>17</v>
      </c>
      <c r="F7" s="2">
        <v>44635</v>
      </c>
      <c r="G7" t="s">
        <v>18</v>
      </c>
      <c r="H7" t="s">
        <v>19</v>
      </c>
      <c r="I7" t="s">
        <v>20</v>
      </c>
      <c r="J7" s="2">
        <v>45458</v>
      </c>
      <c r="K7">
        <v>47948</v>
      </c>
      <c r="L7">
        <v>9000</v>
      </c>
      <c r="M7" t="s">
        <v>21</v>
      </c>
    </row>
    <row r="8" spans="1:14" x14ac:dyDescent="0.2">
      <c r="A8" s="1" t="s">
        <v>14</v>
      </c>
      <c r="B8" t="s">
        <v>15</v>
      </c>
      <c r="C8" t="s">
        <v>15</v>
      </c>
      <c r="D8" t="s">
        <v>16</v>
      </c>
      <c r="E8" t="s">
        <v>17</v>
      </c>
      <c r="F8" s="2">
        <v>44635</v>
      </c>
      <c r="G8" t="s">
        <v>18</v>
      </c>
      <c r="H8" t="s">
        <v>19</v>
      </c>
      <c r="I8" t="s">
        <v>20</v>
      </c>
      <c r="J8" s="2">
        <v>45488</v>
      </c>
      <c r="K8">
        <v>47969</v>
      </c>
      <c r="L8">
        <v>10500</v>
      </c>
      <c r="M8" t="s">
        <v>21</v>
      </c>
    </row>
    <row r="9" spans="1:14" x14ac:dyDescent="0.2">
      <c r="A9" s="1" t="s">
        <v>22</v>
      </c>
      <c r="B9" t="s">
        <v>23</v>
      </c>
      <c r="C9" t="s">
        <v>23</v>
      </c>
      <c r="D9" t="s">
        <v>24</v>
      </c>
      <c r="E9" t="s">
        <v>25</v>
      </c>
      <c r="F9" s="2">
        <v>44520</v>
      </c>
      <c r="G9" t="s">
        <v>26</v>
      </c>
      <c r="H9" t="s">
        <v>27</v>
      </c>
      <c r="I9" t="s">
        <v>20</v>
      </c>
      <c r="J9" s="2">
        <v>45311</v>
      </c>
      <c r="K9">
        <v>33980</v>
      </c>
      <c r="L9">
        <v>2500</v>
      </c>
      <c r="M9" t="s">
        <v>28</v>
      </c>
    </row>
    <row r="10" spans="1:14" x14ac:dyDescent="0.2">
      <c r="A10" s="1" t="s">
        <v>22</v>
      </c>
      <c r="B10" t="s">
        <v>23</v>
      </c>
      <c r="C10" t="s">
        <v>23</v>
      </c>
      <c r="D10" t="s">
        <v>24</v>
      </c>
      <c r="E10" t="s">
        <v>25</v>
      </c>
      <c r="F10" s="2">
        <v>44520</v>
      </c>
      <c r="G10" t="s">
        <v>26</v>
      </c>
      <c r="H10" t="s">
        <v>27</v>
      </c>
      <c r="I10" t="s">
        <v>20</v>
      </c>
      <c r="J10" s="2">
        <v>45342</v>
      </c>
      <c r="K10">
        <v>33985</v>
      </c>
      <c r="L10">
        <v>2500</v>
      </c>
      <c r="M10" t="s">
        <v>28</v>
      </c>
    </row>
    <row r="11" spans="1:14" x14ac:dyDescent="0.2">
      <c r="A11" s="1" t="s">
        <v>22</v>
      </c>
      <c r="B11" t="s">
        <v>23</v>
      </c>
      <c r="C11" t="s">
        <v>23</v>
      </c>
      <c r="D11" t="s">
        <v>24</v>
      </c>
      <c r="E11" t="s">
        <v>25</v>
      </c>
      <c r="F11" s="2">
        <v>44520</v>
      </c>
      <c r="G11" t="s">
        <v>26</v>
      </c>
      <c r="H11" t="s">
        <v>27</v>
      </c>
      <c r="I11" t="s">
        <v>20</v>
      </c>
      <c r="J11" s="2">
        <v>45371</v>
      </c>
      <c r="K11">
        <v>33991</v>
      </c>
      <c r="L11">
        <v>3000</v>
      </c>
      <c r="M11" t="s">
        <v>28</v>
      </c>
    </row>
    <row r="12" spans="1:14" x14ac:dyDescent="0.2">
      <c r="A12" s="1" t="s">
        <v>22</v>
      </c>
      <c r="B12" t="s">
        <v>23</v>
      </c>
      <c r="C12" t="s">
        <v>23</v>
      </c>
      <c r="D12" t="s">
        <v>24</v>
      </c>
      <c r="E12" t="s">
        <v>25</v>
      </c>
      <c r="F12" s="2">
        <v>44520</v>
      </c>
      <c r="G12" t="s">
        <v>26</v>
      </c>
      <c r="H12" t="s">
        <v>27</v>
      </c>
      <c r="I12" t="s">
        <v>20</v>
      </c>
      <c r="J12" s="2">
        <v>45402</v>
      </c>
      <c r="K12">
        <v>33996</v>
      </c>
      <c r="L12">
        <v>2500</v>
      </c>
      <c r="M12" t="s">
        <v>28</v>
      </c>
    </row>
    <row r="13" spans="1:14" x14ac:dyDescent="0.2">
      <c r="A13" s="1" t="s">
        <v>22</v>
      </c>
      <c r="B13" t="s">
        <v>23</v>
      </c>
      <c r="C13" t="s">
        <v>23</v>
      </c>
      <c r="D13" t="s">
        <v>24</v>
      </c>
      <c r="E13" t="s">
        <v>25</v>
      </c>
      <c r="F13" s="2">
        <v>44520</v>
      </c>
      <c r="G13" t="s">
        <v>26</v>
      </c>
      <c r="H13" t="s">
        <v>27</v>
      </c>
      <c r="I13" t="s">
        <v>20</v>
      </c>
      <c r="J13" s="2">
        <v>45432</v>
      </c>
      <c r="K13">
        <v>34002</v>
      </c>
      <c r="L13">
        <v>3000</v>
      </c>
      <c r="M13" t="s">
        <v>28</v>
      </c>
    </row>
    <row r="14" spans="1:14" x14ac:dyDescent="0.2">
      <c r="A14" s="1" t="s">
        <v>22</v>
      </c>
      <c r="B14" t="s">
        <v>23</v>
      </c>
      <c r="C14" t="s">
        <v>23</v>
      </c>
      <c r="D14" t="s">
        <v>24</v>
      </c>
      <c r="E14" t="s">
        <v>25</v>
      </c>
      <c r="F14" s="2">
        <v>44520</v>
      </c>
      <c r="G14" t="s">
        <v>26</v>
      </c>
      <c r="H14" t="s">
        <v>27</v>
      </c>
      <c r="I14" t="s">
        <v>20</v>
      </c>
      <c r="J14" s="2">
        <v>45463</v>
      </c>
      <c r="K14">
        <v>34007</v>
      </c>
      <c r="L14">
        <v>2500</v>
      </c>
      <c r="M14" t="s">
        <v>28</v>
      </c>
      <c r="N14" s="5" t="s">
        <v>112</v>
      </c>
    </row>
    <row r="15" spans="1:14" x14ac:dyDescent="0.2">
      <c r="A15" s="1" t="s">
        <v>22</v>
      </c>
      <c r="B15" t="s">
        <v>23</v>
      </c>
      <c r="C15" t="s">
        <v>23</v>
      </c>
      <c r="D15" t="s">
        <v>24</v>
      </c>
      <c r="E15" t="s">
        <v>25</v>
      </c>
      <c r="F15" s="2">
        <v>44520</v>
      </c>
      <c r="G15" t="s">
        <v>26</v>
      </c>
      <c r="H15" t="s">
        <v>27</v>
      </c>
      <c r="I15" t="s">
        <v>20</v>
      </c>
      <c r="J15" s="2">
        <v>45493</v>
      </c>
      <c r="K15">
        <v>34013</v>
      </c>
      <c r="L15">
        <v>3000</v>
      </c>
      <c r="M15" t="s">
        <v>28</v>
      </c>
    </row>
    <row r="16" spans="1:14" x14ac:dyDescent="0.2">
      <c r="A16" s="1" t="s">
        <v>29</v>
      </c>
      <c r="B16" t="s">
        <v>30</v>
      </c>
      <c r="C16" t="s">
        <v>30</v>
      </c>
      <c r="D16" t="s">
        <v>31</v>
      </c>
      <c r="E16" t="s">
        <v>32</v>
      </c>
      <c r="F16" s="2">
        <v>44936</v>
      </c>
      <c r="G16" t="s">
        <v>33</v>
      </c>
      <c r="H16" t="s">
        <v>19</v>
      </c>
      <c r="I16" t="s">
        <v>20</v>
      </c>
      <c r="J16" s="2">
        <v>45301</v>
      </c>
      <c r="K16">
        <v>15890</v>
      </c>
      <c r="L16">
        <v>13500</v>
      </c>
      <c r="M16" t="s">
        <v>34</v>
      </c>
    </row>
    <row r="17" spans="1:14" x14ac:dyDescent="0.2">
      <c r="A17" s="1" t="s">
        <v>29</v>
      </c>
      <c r="B17" t="s">
        <v>30</v>
      </c>
      <c r="C17" t="s">
        <v>30</v>
      </c>
      <c r="D17" t="s">
        <v>31</v>
      </c>
      <c r="E17" t="s">
        <v>32</v>
      </c>
      <c r="F17" s="2">
        <v>44936</v>
      </c>
      <c r="G17" t="s">
        <v>33</v>
      </c>
      <c r="H17" t="s">
        <v>19</v>
      </c>
      <c r="I17" t="s">
        <v>20</v>
      </c>
      <c r="J17" s="2">
        <v>45332</v>
      </c>
      <c r="K17">
        <v>15917</v>
      </c>
      <c r="L17">
        <v>13500</v>
      </c>
      <c r="M17" t="s">
        <v>34</v>
      </c>
    </row>
    <row r="18" spans="1:14" x14ac:dyDescent="0.2">
      <c r="A18" s="1" t="s">
        <v>29</v>
      </c>
      <c r="B18" t="s">
        <v>30</v>
      </c>
      <c r="C18" t="s">
        <v>30</v>
      </c>
      <c r="D18" t="s">
        <v>31</v>
      </c>
      <c r="E18" t="s">
        <v>32</v>
      </c>
      <c r="F18" s="2">
        <v>44936</v>
      </c>
      <c r="G18" t="s">
        <v>33</v>
      </c>
      <c r="H18" t="s">
        <v>19</v>
      </c>
      <c r="I18" t="s">
        <v>20</v>
      </c>
      <c r="J18" s="2">
        <v>45361</v>
      </c>
      <c r="K18">
        <v>15946</v>
      </c>
      <c r="L18">
        <v>14500</v>
      </c>
      <c r="M18" t="s">
        <v>34</v>
      </c>
    </row>
    <row r="19" spans="1:14" x14ac:dyDescent="0.2">
      <c r="A19" s="1" t="s">
        <v>29</v>
      </c>
      <c r="B19" t="s">
        <v>30</v>
      </c>
      <c r="C19" t="s">
        <v>30</v>
      </c>
      <c r="D19" t="s">
        <v>31</v>
      </c>
      <c r="E19" t="s">
        <v>32</v>
      </c>
      <c r="F19" s="2">
        <v>44936</v>
      </c>
      <c r="G19" t="s">
        <v>33</v>
      </c>
      <c r="H19" t="s">
        <v>19</v>
      </c>
      <c r="I19" t="s">
        <v>35</v>
      </c>
      <c r="J19" s="2">
        <v>45392</v>
      </c>
      <c r="K19">
        <v>15946</v>
      </c>
      <c r="L19">
        <v>0</v>
      </c>
      <c r="M19" t="s">
        <v>34</v>
      </c>
      <c r="N19" t="s">
        <v>36</v>
      </c>
    </row>
    <row r="20" spans="1:14" x14ac:dyDescent="0.2">
      <c r="A20" s="1" t="s">
        <v>29</v>
      </c>
      <c r="B20" t="s">
        <v>30</v>
      </c>
      <c r="C20" t="s">
        <v>30</v>
      </c>
      <c r="D20" t="s">
        <v>31</v>
      </c>
      <c r="E20" t="s">
        <v>32</v>
      </c>
      <c r="F20" s="2">
        <v>44936</v>
      </c>
      <c r="G20" t="s">
        <v>33</v>
      </c>
      <c r="H20" t="s">
        <v>19</v>
      </c>
      <c r="I20" t="s">
        <v>35</v>
      </c>
      <c r="J20" s="2">
        <v>45422</v>
      </c>
      <c r="K20">
        <v>15948</v>
      </c>
      <c r="L20">
        <v>1000</v>
      </c>
      <c r="M20" t="s">
        <v>34</v>
      </c>
      <c r="N20" t="s">
        <v>37</v>
      </c>
    </row>
    <row r="21" spans="1:14" x14ac:dyDescent="0.2">
      <c r="A21" s="1" t="s">
        <v>29</v>
      </c>
      <c r="B21" t="s">
        <v>30</v>
      </c>
      <c r="C21" t="s">
        <v>30</v>
      </c>
      <c r="D21" t="s">
        <v>31</v>
      </c>
      <c r="E21" t="s">
        <v>32</v>
      </c>
      <c r="F21" s="2">
        <v>44936</v>
      </c>
      <c r="G21" t="s">
        <v>33</v>
      </c>
      <c r="H21" t="s">
        <v>19</v>
      </c>
      <c r="I21" t="s">
        <v>20</v>
      </c>
      <c r="J21" s="2">
        <v>45453</v>
      </c>
      <c r="K21">
        <v>15984</v>
      </c>
      <c r="L21">
        <v>18000</v>
      </c>
      <c r="M21" t="s">
        <v>34</v>
      </c>
      <c r="N21" t="s">
        <v>38</v>
      </c>
    </row>
    <row r="22" spans="1:14" x14ac:dyDescent="0.2">
      <c r="A22" s="1" t="s">
        <v>29</v>
      </c>
      <c r="B22" t="s">
        <v>30</v>
      </c>
      <c r="C22" t="s">
        <v>30</v>
      </c>
      <c r="D22" t="s">
        <v>31</v>
      </c>
      <c r="E22" t="s">
        <v>32</v>
      </c>
      <c r="F22" s="2">
        <v>44936</v>
      </c>
      <c r="G22" t="s">
        <v>33</v>
      </c>
      <c r="H22" t="s">
        <v>19</v>
      </c>
      <c r="I22" t="s">
        <v>20</v>
      </c>
      <c r="J22" s="2">
        <v>45483</v>
      </c>
      <c r="K22">
        <v>16013</v>
      </c>
      <c r="L22">
        <v>14500</v>
      </c>
      <c r="M22" t="s">
        <v>34</v>
      </c>
    </row>
    <row r="23" spans="1:14" x14ac:dyDescent="0.2">
      <c r="A23" s="1" t="s">
        <v>39</v>
      </c>
      <c r="B23" t="s">
        <v>40</v>
      </c>
      <c r="C23" t="s">
        <v>41</v>
      </c>
      <c r="D23" t="s">
        <v>42</v>
      </c>
      <c r="E23" t="s">
        <v>43</v>
      </c>
      <c r="F23" s="2">
        <v>44048</v>
      </c>
      <c r="G23" t="s">
        <v>18</v>
      </c>
      <c r="H23" t="s">
        <v>27</v>
      </c>
      <c r="I23" t="s">
        <v>20</v>
      </c>
      <c r="J23" s="2">
        <v>45316</v>
      </c>
      <c r="K23">
        <v>30690</v>
      </c>
      <c r="L23">
        <v>3000</v>
      </c>
      <c r="M23" t="s">
        <v>44</v>
      </c>
    </row>
    <row r="24" spans="1:14" x14ac:dyDescent="0.2">
      <c r="A24" s="1" t="s">
        <v>39</v>
      </c>
      <c r="B24" t="s">
        <v>40</v>
      </c>
      <c r="C24" t="s">
        <v>41</v>
      </c>
      <c r="D24" t="s">
        <v>42</v>
      </c>
      <c r="E24" t="s">
        <v>43</v>
      </c>
      <c r="F24" s="2">
        <v>44048</v>
      </c>
      <c r="G24" t="s">
        <v>18</v>
      </c>
      <c r="H24" t="s">
        <v>27</v>
      </c>
      <c r="I24" t="s">
        <v>20</v>
      </c>
      <c r="J24" s="2">
        <v>45347</v>
      </c>
      <c r="K24">
        <v>30696</v>
      </c>
      <c r="L24">
        <v>3000</v>
      </c>
      <c r="M24" t="s">
        <v>44</v>
      </c>
    </row>
    <row r="25" spans="1:14" x14ac:dyDescent="0.2">
      <c r="A25" s="1" t="s">
        <v>39</v>
      </c>
      <c r="B25" t="s">
        <v>40</v>
      </c>
      <c r="C25" t="s">
        <v>41</v>
      </c>
      <c r="D25" t="s">
        <v>42</v>
      </c>
      <c r="E25" t="s">
        <v>43</v>
      </c>
      <c r="F25" s="2">
        <v>44048</v>
      </c>
      <c r="G25" t="s">
        <v>18</v>
      </c>
      <c r="H25" t="s">
        <v>27</v>
      </c>
      <c r="I25" t="s">
        <v>20</v>
      </c>
      <c r="J25" s="2">
        <v>45376</v>
      </c>
      <c r="K25">
        <v>30703</v>
      </c>
      <c r="L25">
        <v>3500</v>
      </c>
      <c r="M25" t="s">
        <v>44</v>
      </c>
    </row>
    <row r="26" spans="1:14" x14ac:dyDescent="0.2">
      <c r="A26" s="1" t="s">
        <v>39</v>
      </c>
      <c r="B26" t="s">
        <v>40</v>
      </c>
      <c r="C26" t="s">
        <v>41</v>
      </c>
      <c r="D26" t="s">
        <v>42</v>
      </c>
      <c r="E26" t="s">
        <v>43</v>
      </c>
      <c r="F26" s="2">
        <v>44048</v>
      </c>
      <c r="G26" t="s">
        <v>18</v>
      </c>
      <c r="H26" t="s">
        <v>27</v>
      </c>
      <c r="I26" t="s">
        <v>20</v>
      </c>
      <c r="J26" s="2">
        <v>45407</v>
      </c>
      <c r="K26">
        <v>30709</v>
      </c>
      <c r="L26">
        <v>3000</v>
      </c>
      <c r="M26" t="s">
        <v>44</v>
      </c>
    </row>
    <row r="27" spans="1:14" x14ac:dyDescent="0.2">
      <c r="A27" s="1" t="s">
        <v>39</v>
      </c>
      <c r="B27" t="s">
        <v>40</v>
      </c>
      <c r="C27" t="s">
        <v>41</v>
      </c>
      <c r="D27" t="s">
        <v>42</v>
      </c>
      <c r="E27" t="s">
        <v>43</v>
      </c>
      <c r="F27" s="2">
        <v>44048</v>
      </c>
      <c r="G27" t="s">
        <v>18</v>
      </c>
      <c r="H27" t="s">
        <v>27</v>
      </c>
      <c r="I27" t="s">
        <v>20</v>
      </c>
      <c r="J27" s="2">
        <v>45437</v>
      </c>
      <c r="K27">
        <v>30716</v>
      </c>
      <c r="L27">
        <v>3500</v>
      </c>
      <c r="M27" t="s">
        <v>44</v>
      </c>
    </row>
    <row r="28" spans="1:14" x14ac:dyDescent="0.2">
      <c r="A28" s="1" t="s">
        <v>39</v>
      </c>
      <c r="B28" t="s">
        <v>40</v>
      </c>
      <c r="C28" t="s">
        <v>41</v>
      </c>
      <c r="D28" t="s">
        <v>42</v>
      </c>
      <c r="E28" t="s">
        <v>43</v>
      </c>
      <c r="F28" s="2">
        <v>44048</v>
      </c>
      <c r="G28" t="s">
        <v>18</v>
      </c>
      <c r="H28" t="s">
        <v>27</v>
      </c>
      <c r="I28" t="s">
        <v>20</v>
      </c>
      <c r="J28" s="2">
        <v>45468</v>
      </c>
      <c r="K28">
        <v>30722</v>
      </c>
      <c r="L28">
        <v>3000</v>
      </c>
      <c r="M28" t="s">
        <v>44</v>
      </c>
    </row>
    <row r="29" spans="1:14" x14ac:dyDescent="0.2">
      <c r="A29" s="1" t="s">
        <v>39</v>
      </c>
      <c r="B29" t="s">
        <v>40</v>
      </c>
      <c r="C29" t="s">
        <v>41</v>
      </c>
      <c r="D29" t="s">
        <v>42</v>
      </c>
      <c r="E29" t="s">
        <v>43</v>
      </c>
      <c r="F29" s="2">
        <v>44048</v>
      </c>
      <c r="G29" t="s">
        <v>18</v>
      </c>
      <c r="H29" t="s">
        <v>27</v>
      </c>
      <c r="I29" t="s">
        <v>20</v>
      </c>
      <c r="J29" s="2">
        <v>45498</v>
      </c>
      <c r="K29">
        <v>30729</v>
      </c>
      <c r="L29">
        <v>3500</v>
      </c>
      <c r="M29" t="s">
        <v>44</v>
      </c>
    </row>
    <row r="30" spans="1:14" x14ac:dyDescent="0.2">
      <c r="A30" s="1" t="s">
        <v>45</v>
      </c>
      <c r="B30" t="s">
        <v>46</v>
      </c>
      <c r="C30" t="s">
        <v>47</v>
      </c>
      <c r="D30" t="s">
        <v>48</v>
      </c>
      <c r="E30" t="s">
        <v>49</v>
      </c>
      <c r="F30" s="2">
        <v>44764</v>
      </c>
      <c r="G30" t="s">
        <v>26</v>
      </c>
      <c r="H30" t="s">
        <v>19</v>
      </c>
      <c r="I30" t="s">
        <v>50</v>
      </c>
      <c r="J30" s="2">
        <v>45321</v>
      </c>
      <c r="K30">
        <v>18950</v>
      </c>
      <c r="L30">
        <v>0</v>
      </c>
      <c r="M30" t="s">
        <v>51</v>
      </c>
      <c r="N30" t="s">
        <v>52</v>
      </c>
    </row>
    <row r="31" spans="1:14" x14ac:dyDescent="0.2">
      <c r="A31" s="1" t="s">
        <v>45</v>
      </c>
      <c r="B31" t="s">
        <v>46</v>
      </c>
      <c r="C31" t="s">
        <v>47</v>
      </c>
      <c r="D31" t="s">
        <v>48</v>
      </c>
      <c r="E31" t="s">
        <v>49</v>
      </c>
      <c r="F31" s="2">
        <v>44764</v>
      </c>
      <c r="G31" t="s">
        <v>26</v>
      </c>
      <c r="H31" t="s">
        <v>19</v>
      </c>
      <c r="I31" t="s">
        <v>50</v>
      </c>
      <c r="J31" s="2">
        <v>45350</v>
      </c>
      <c r="K31">
        <v>18950</v>
      </c>
      <c r="L31">
        <v>0</v>
      </c>
      <c r="M31" t="s">
        <v>51</v>
      </c>
      <c r="N31" t="s">
        <v>52</v>
      </c>
    </row>
    <row r="32" spans="1:14" x14ac:dyDescent="0.2">
      <c r="A32" s="1" t="s">
        <v>45</v>
      </c>
      <c r="B32" t="s">
        <v>46</v>
      </c>
      <c r="C32" t="s">
        <v>47</v>
      </c>
      <c r="D32" t="s">
        <v>48</v>
      </c>
      <c r="E32" t="s">
        <v>49</v>
      </c>
      <c r="F32" s="2">
        <v>44764</v>
      </c>
      <c r="G32" t="s">
        <v>26</v>
      </c>
      <c r="H32" t="s">
        <v>19</v>
      </c>
      <c r="I32" t="s">
        <v>50</v>
      </c>
      <c r="J32" s="2">
        <v>45381</v>
      </c>
      <c r="K32">
        <v>18952</v>
      </c>
      <c r="L32">
        <v>1000</v>
      </c>
      <c r="M32" t="s">
        <v>51</v>
      </c>
      <c r="N32" t="s">
        <v>53</v>
      </c>
    </row>
    <row r="33" spans="1:14" x14ac:dyDescent="0.2">
      <c r="A33" s="1" t="s">
        <v>45</v>
      </c>
      <c r="B33" t="s">
        <v>46</v>
      </c>
      <c r="C33" t="s">
        <v>47</v>
      </c>
      <c r="D33" t="s">
        <v>48</v>
      </c>
      <c r="E33" t="s">
        <v>49</v>
      </c>
      <c r="F33" s="2">
        <v>44764</v>
      </c>
      <c r="G33" t="s">
        <v>26</v>
      </c>
      <c r="H33" t="s">
        <v>19</v>
      </c>
      <c r="I33" t="s">
        <v>50</v>
      </c>
      <c r="J33" s="2">
        <v>45412</v>
      </c>
      <c r="K33">
        <v>18952</v>
      </c>
      <c r="L33">
        <v>0</v>
      </c>
      <c r="M33" t="s">
        <v>51</v>
      </c>
      <c r="N33" t="s">
        <v>52</v>
      </c>
    </row>
    <row r="34" spans="1:14" x14ac:dyDescent="0.2">
      <c r="A34" s="1" t="s">
        <v>45</v>
      </c>
      <c r="B34" t="s">
        <v>46</v>
      </c>
      <c r="C34" t="s">
        <v>47</v>
      </c>
      <c r="D34" t="s">
        <v>48</v>
      </c>
      <c r="E34" t="s">
        <v>49</v>
      </c>
      <c r="F34" s="2">
        <v>44764</v>
      </c>
      <c r="G34" t="s">
        <v>26</v>
      </c>
      <c r="H34" t="s">
        <v>19</v>
      </c>
      <c r="I34" t="s">
        <v>50</v>
      </c>
      <c r="J34" s="2">
        <v>45442</v>
      </c>
      <c r="K34">
        <v>18952</v>
      </c>
      <c r="L34">
        <v>0</v>
      </c>
      <c r="M34" t="s">
        <v>51</v>
      </c>
      <c r="N34" t="s">
        <v>52</v>
      </c>
    </row>
    <row r="35" spans="1:14" x14ac:dyDescent="0.2">
      <c r="A35" s="1" t="s">
        <v>45</v>
      </c>
      <c r="B35" t="s">
        <v>46</v>
      </c>
      <c r="C35" t="s">
        <v>47</v>
      </c>
      <c r="D35" t="s">
        <v>48</v>
      </c>
      <c r="E35" t="s">
        <v>49</v>
      </c>
      <c r="F35" s="2">
        <v>44764</v>
      </c>
      <c r="G35" t="s">
        <v>26</v>
      </c>
      <c r="H35" t="s">
        <v>19</v>
      </c>
      <c r="I35" t="s">
        <v>50</v>
      </c>
      <c r="J35" s="2">
        <v>45473</v>
      </c>
      <c r="K35">
        <v>18952</v>
      </c>
      <c r="L35">
        <v>0</v>
      </c>
      <c r="M35" t="s">
        <v>51</v>
      </c>
      <c r="N35" t="s">
        <v>52</v>
      </c>
    </row>
    <row r="36" spans="1:14" x14ac:dyDescent="0.2">
      <c r="A36" s="1" t="s">
        <v>45</v>
      </c>
      <c r="B36" t="s">
        <v>46</v>
      </c>
      <c r="C36" t="s">
        <v>47</v>
      </c>
      <c r="D36" t="s">
        <v>48</v>
      </c>
      <c r="E36" t="s">
        <v>49</v>
      </c>
      <c r="F36" s="2">
        <v>44764</v>
      </c>
      <c r="G36" t="s">
        <v>26</v>
      </c>
      <c r="H36" t="s">
        <v>19</v>
      </c>
      <c r="I36" t="s">
        <v>50</v>
      </c>
      <c r="J36" s="2">
        <v>45503</v>
      </c>
      <c r="K36">
        <v>18952</v>
      </c>
      <c r="L36">
        <v>0</v>
      </c>
      <c r="M36" t="s">
        <v>51</v>
      </c>
      <c r="N36" t="s">
        <v>52</v>
      </c>
    </row>
    <row r="37" spans="1:14" x14ac:dyDescent="0.2">
      <c r="A37" s="1" t="s">
        <v>54</v>
      </c>
      <c r="B37" t="s">
        <v>55</v>
      </c>
      <c r="C37" t="s">
        <v>55</v>
      </c>
      <c r="D37" t="s">
        <v>56</v>
      </c>
      <c r="E37" t="s">
        <v>57</v>
      </c>
      <c r="F37" s="2">
        <v>44328</v>
      </c>
      <c r="G37" t="s">
        <v>18</v>
      </c>
      <c r="H37" t="s">
        <v>27</v>
      </c>
      <c r="I37" t="s">
        <v>20</v>
      </c>
      <c r="J37" s="2">
        <v>45309</v>
      </c>
      <c r="K37">
        <v>23650</v>
      </c>
      <c r="L37">
        <v>2500</v>
      </c>
      <c r="M37" t="s">
        <v>58</v>
      </c>
    </row>
    <row r="38" spans="1:14" x14ac:dyDescent="0.2">
      <c r="A38" s="1" t="s">
        <v>54</v>
      </c>
      <c r="B38" t="s">
        <v>55</v>
      </c>
      <c r="C38" t="s">
        <v>55</v>
      </c>
      <c r="D38" t="s">
        <v>56</v>
      </c>
      <c r="E38" t="s">
        <v>57</v>
      </c>
      <c r="F38" s="2">
        <v>44328</v>
      </c>
      <c r="G38" t="s">
        <v>18</v>
      </c>
      <c r="H38" t="s">
        <v>27</v>
      </c>
      <c r="I38" t="s">
        <v>20</v>
      </c>
      <c r="J38" s="2">
        <v>45340</v>
      </c>
      <c r="K38">
        <v>23655</v>
      </c>
      <c r="L38">
        <v>2500</v>
      </c>
      <c r="M38" t="s">
        <v>58</v>
      </c>
    </row>
    <row r="39" spans="1:14" x14ac:dyDescent="0.2">
      <c r="A39" s="1" t="s">
        <v>54</v>
      </c>
      <c r="B39" t="s">
        <v>55</v>
      </c>
      <c r="C39" t="s">
        <v>55</v>
      </c>
      <c r="D39" t="s">
        <v>56</v>
      </c>
      <c r="E39" t="s">
        <v>57</v>
      </c>
      <c r="F39" s="2">
        <v>44328</v>
      </c>
      <c r="G39" t="s">
        <v>18</v>
      </c>
      <c r="H39" t="s">
        <v>27</v>
      </c>
      <c r="I39" t="s">
        <v>20</v>
      </c>
      <c r="J39" s="2">
        <v>45369</v>
      </c>
      <c r="K39">
        <v>23661</v>
      </c>
      <c r="L39">
        <v>3000</v>
      </c>
      <c r="M39" t="s">
        <v>58</v>
      </c>
    </row>
    <row r="40" spans="1:14" x14ac:dyDescent="0.2">
      <c r="A40" s="1" t="s">
        <v>54</v>
      </c>
      <c r="B40" t="s">
        <v>55</v>
      </c>
      <c r="C40" t="s">
        <v>55</v>
      </c>
      <c r="D40" t="s">
        <v>56</v>
      </c>
      <c r="E40" t="s">
        <v>57</v>
      </c>
      <c r="F40" s="2">
        <v>44328</v>
      </c>
      <c r="G40" t="s">
        <v>18</v>
      </c>
      <c r="H40" t="s">
        <v>27</v>
      </c>
      <c r="I40" t="s">
        <v>20</v>
      </c>
      <c r="J40" s="2">
        <v>45400</v>
      </c>
      <c r="K40">
        <v>23666</v>
      </c>
      <c r="L40">
        <v>2500</v>
      </c>
      <c r="M40" t="s">
        <v>58</v>
      </c>
    </row>
    <row r="41" spans="1:14" x14ac:dyDescent="0.2">
      <c r="A41" s="1" t="s">
        <v>54</v>
      </c>
      <c r="B41" t="s">
        <v>55</v>
      </c>
      <c r="C41" t="s">
        <v>55</v>
      </c>
      <c r="D41" t="s">
        <v>56</v>
      </c>
      <c r="E41" t="s">
        <v>57</v>
      </c>
      <c r="F41" s="2">
        <v>44328</v>
      </c>
      <c r="G41" t="s">
        <v>18</v>
      </c>
      <c r="H41" t="s">
        <v>27</v>
      </c>
      <c r="I41" t="s">
        <v>20</v>
      </c>
      <c r="J41" s="2">
        <v>45430</v>
      </c>
      <c r="K41">
        <v>23672</v>
      </c>
      <c r="L41">
        <v>3000</v>
      </c>
      <c r="M41" t="s">
        <v>58</v>
      </c>
    </row>
    <row r="42" spans="1:14" x14ac:dyDescent="0.2">
      <c r="A42" s="1" t="s">
        <v>54</v>
      </c>
      <c r="B42" t="s">
        <v>55</v>
      </c>
      <c r="C42" t="s">
        <v>55</v>
      </c>
      <c r="D42" t="s">
        <v>56</v>
      </c>
      <c r="E42" t="s">
        <v>57</v>
      </c>
      <c r="F42" s="2">
        <v>44328</v>
      </c>
      <c r="G42" t="s">
        <v>18</v>
      </c>
      <c r="H42" t="s">
        <v>27</v>
      </c>
      <c r="I42" t="s">
        <v>20</v>
      </c>
      <c r="J42" s="2">
        <v>45461</v>
      </c>
      <c r="K42">
        <v>23676</v>
      </c>
      <c r="L42">
        <v>2000</v>
      </c>
      <c r="M42" t="s">
        <v>58</v>
      </c>
    </row>
    <row r="43" spans="1:14" x14ac:dyDescent="0.2">
      <c r="A43" s="1" t="s">
        <v>54</v>
      </c>
      <c r="B43" t="s">
        <v>55</v>
      </c>
      <c r="C43" t="s">
        <v>55</v>
      </c>
      <c r="D43" t="s">
        <v>56</v>
      </c>
      <c r="E43" t="s">
        <v>57</v>
      </c>
      <c r="F43" s="2">
        <v>44328</v>
      </c>
      <c r="G43" t="s">
        <v>18</v>
      </c>
      <c r="H43" t="s">
        <v>27</v>
      </c>
      <c r="I43" t="s">
        <v>20</v>
      </c>
      <c r="J43" s="2">
        <v>45491</v>
      </c>
      <c r="K43">
        <v>23682</v>
      </c>
      <c r="L43">
        <v>3000</v>
      </c>
      <c r="M43" t="s">
        <v>58</v>
      </c>
    </row>
    <row r="44" spans="1:14" x14ac:dyDescent="0.2">
      <c r="A44" s="1" t="s">
        <v>59</v>
      </c>
      <c r="B44" t="s">
        <v>60</v>
      </c>
      <c r="C44" t="s">
        <v>61</v>
      </c>
      <c r="D44" t="s">
        <v>62</v>
      </c>
      <c r="E44" t="s">
        <v>63</v>
      </c>
      <c r="F44" s="2">
        <v>44985</v>
      </c>
      <c r="G44" t="s">
        <v>33</v>
      </c>
      <c r="H44" t="s">
        <v>19</v>
      </c>
      <c r="I44" t="s">
        <v>20</v>
      </c>
      <c r="J44" s="2">
        <v>45296</v>
      </c>
      <c r="K44">
        <v>16420</v>
      </c>
      <c r="L44">
        <v>18000</v>
      </c>
      <c r="M44" t="s">
        <v>64</v>
      </c>
    </row>
    <row r="45" spans="1:14" x14ac:dyDescent="0.2">
      <c r="A45" s="1" t="s">
        <v>59</v>
      </c>
      <c r="B45" t="s">
        <v>60</v>
      </c>
      <c r="C45" t="s">
        <v>61</v>
      </c>
      <c r="D45" t="s">
        <v>62</v>
      </c>
      <c r="E45" t="s">
        <v>63</v>
      </c>
      <c r="F45" s="2">
        <v>44985</v>
      </c>
      <c r="G45" t="s">
        <v>33</v>
      </c>
      <c r="H45" t="s">
        <v>19</v>
      </c>
      <c r="I45" t="s">
        <v>20</v>
      </c>
      <c r="J45" s="2">
        <v>45327</v>
      </c>
      <c r="K45">
        <v>16456</v>
      </c>
      <c r="L45">
        <v>18000</v>
      </c>
      <c r="M45" t="s">
        <v>64</v>
      </c>
    </row>
    <row r="46" spans="1:14" x14ac:dyDescent="0.2">
      <c r="A46" s="1" t="s">
        <v>59</v>
      </c>
      <c r="B46" t="s">
        <v>60</v>
      </c>
      <c r="C46" t="s">
        <v>61</v>
      </c>
      <c r="D46" t="s">
        <v>62</v>
      </c>
      <c r="E46" t="s">
        <v>63</v>
      </c>
      <c r="F46" s="2">
        <v>44985</v>
      </c>
      <c r="G46" t="s">
        <v>33</v>
      </c>
      <c r="H46" t="s">
        <v>19</v>
      </c>
      <c r="I46" t="s">
        <v>20</v>
      </c>
      <c r="J46" s="2">
        <v>45356</v>
      </c>
      <c r="K46">
        <v>16494</v>
      </c>
      <c r="L46">
        <v>19000</v>
      </c>
      <c r="M46" t="s">
        <v>64</v>
      </c>
    </row>
    <row r="47" spans="1:14" x14ac:dyDescent="0.2">
      <c r="A47" s="1" t="s">
        <v>59</v>
      </c>
      <c r="B47" t="s">
        <v>60</v>
      </c>
      <c r="C47" t="s">
        <v>61</v>
      </c>
      <c r="D47" t="s">
        <v>62</v>
      </c>
      <c r="E47" t="s">
        <v>63</v>
      </c>
      <c r="F47" s="2">
        <v>44985</v>
      </c>
      <c r="G47" t="s">
        <v>33</v>
      </c>
      <c r="H47" t="s">
        <v>19</v>
      </c>
      <c r="I47" t="s">
        <v>20</v>
      </c>
      <c r="J47" s="2">
        <v>45387</v>
      </c>
      <c r="K47">
        <v>16530</v>
      </c>
      <c r="L47">
        <v>18000</v>
      </c>
      <c r="M47" t="s">
        <v>64</v>
      </c>
    </row>
    <row r="48" spans="1:14" x14ac:dyDescent="0.2">
      <c r="A48" s="1" t="s">
        <v>59</v>
      </c>
      <c r="B48" t="s">
        <v>60</v>
      </c>
      <c r="C48" t="s">
        <v>61</v>
      </c>
      <c r="D48" t="s">
        <v>62</v>
      </c>
      <c r="E48" t="s">
        <v>63</v>
      </c>
      <c r="F48" s="2">
        <v>44985</v>
      </c>
      <c r="G48" t="s">
        <v>33</v>
      </c>
      <c r="H48" t="s">
        <v>19</v>
      </c>
      <c r="I48" t="s">
        <v>20</v>
      </c>
      <c r="J48" s="2">
        <v>45417</v>
      </c>
      <c r="K48">
        <v>16568</v>
      </c>
      <c r="L48">
        <v>19000</v>
      </c>
      <c r="M48" t="s">
        <v>64</v>
      </c>
    </row>
    <row r="49" spans="1:13" x14ac:dyDescent="0.2">
      <c r="A49" s="1" t="s">
        <v>59</v>
      </c>
      <c r="B49" t="s">
        <v>60</v>
      </c>
      <c r="C49" t="s">
        <v>61</v>
      </c>
      <c r="D49" t="s">
        <v>62</v>
      </c>
      <c r="E49" t="s">
        <v>63</v>
      </c>
      <c r="F49" s="2">
        <v>44985</v>
      </c>
      <c r="G49" t="s">
        <v>33</v>
      </c>
      <c r="H49" t="s">
        <v>19</v>
      </c>
      <c r="I49" t="s">
        <v>20</v>
      </c>
      <c r="J49" s="2">
        <v>45448</v>
      </c>
      <c r="K49">
        <v>16604</v>
      </c>
      <c r="L49">
        <v>18000</v>
      </c>
      <c r="M49" t="s">
        <v>64</v>
      </c>
    </row>
    <row r="50" spans="1:13" x14ac:dyDescent="0.2">
      <c r="A50" s="1" t="s">
        <v>59</v>
      </c>
      <c r="B50" t="s">
        <v>60</v>
      </c>
      <c r="C50" t="s">
        <v>61</v>
      </c>
      <c r="D50" t="s">
        <v>62</v>
      </c>
      <c r="E50" t="s">
        <v>63</v>
      </c>
      <c r="F50" s="2">
        <v>44985</v>
      </c>
      <c r="G50" t="s">
        <v>33</v>
      </c>
      <c r="H50" t="s">
        <v>19</v>
      </c>
      <c r="I50" t="s">
        <v>20</v>
      </c>
      <c r="J50" s="2">
        <v>45478</v>
      </c>
      <c r="K50">
        <v>16642</v>
      </c>
      <c r="L50">
        <v>19000</v>
      </c>
      <c r="M50" t="s">
        <v>64</v>
      </c>
    </row>
    <row r="51" spans="1:13" x14ac:dyDescent="0.2">
      <c r="A51" s="1" t="s">
        <v>65</v>
      </c>
      <c r="B51" t="s">
        <v>66</v>
      </c>
      <c r="C51" t="s">
        <v>66</v>
      </c>
      <c r="D51" t="s">
        <v>67</v>
      </c>
      <c r="E51" t="s">
        <v>68</v>
      </c>
      <c r="F51" s="2">
        <v>44175</v>
      </c>
      <c r="G51" t="s">
        <v>26</v>
      </c>
      <c r="H51" t="s">
        <v>27</v>
      </c>
      <c r="I51" t="s">
        <v>20</v>
      </c>
      <c r="J51" s="2">
        <v>45303</v>
      </c>
      <c r="K51">
        <v>36850</v>
      </c>
      <c r="L51">
        <v>2000</v>
      </c>
      <c r="M51" t="s">
        <v>69</v>
      </c>
    </row>
    <row r="52" spans="1:13" x14ac:dyDescent="0.2">
      <c r="A52" s="1" t="s">
        <v>65</v>
      </c>
      <c r="B52" t="s">
        <v>66</v>
      </c>
      <c r="C52" t="s">
        <v>66</v>
      </c>
      <c r="D52" t="s">
        <v>67</v>
      </c>
      <c r="E52" t="s">
        <v>68</v>
      </c>
      <c r="F52" s="2">
        <v>44175</v>
      </c>
      <c r="G52" t="s">
        <v>26</v>
      </c>
      <c r="H52" t="s">
        <v>27</v>
      </c>
      <c r="I52" t="s">
        <v>20</v>
      </c>
      <c r="J52" s="2">
        <v>45334</v>
      </c>
      <c r="K52">
        <v>36854</v>
      </c>
      <c r="L52">
        <v>2000</v>
      </c>
      <c r="M52" t="s">
        <v>69</v>
      </c>
    </row>
    <row r="53" spans="1:13" x14ac:dyDescent="0.2">
      <c r="A53" s="1" t="s">
        <v>65</v>
      </c>
      <c r="B53" t="s">
        <v>66</v>
      </c>
      <c r="C53" t="s">
        <v>66</v>
      </c>
      <c r="D53" t="s">
        <v>67</v>
      </c>
      <c r="E53" t="s">
        <v>68</v>
      </c>
      <c r="F53" s="2">
        <v>44175</v>
      </c>
      <c r="G53" t="s">
        <v>26</v>
      </c>
      <c r="H53" t="s">
        <v>27</v>
      </c>
      <c r="I53" t="s">
        <v>20</v>
      </c>
      <c r="J53" s="2">
        <v>45363</v>
      </c>
      <c r="K53">
        <v>36859</v>
      </c>
      <c r="L53">
        <v>2500</v>
      </c>
      <c r="M53" t="s">
        <v>69</v>
      </c>
    </row>
    <row r="54" spans="1:13" x14ac:dyDescent="0.2">
      <c r="A54" s="1" t="s">
        <v>65</v>
      </c>
      <c r="B54" t="s">
        <v>66</v>
      </c>
      <c r="C54" t="s">
        <v>66</v>
      </c>
      <c r="D54" t="s">
        <v>67</v>
      </c>
      <c r="E54" t="s">
        <v>68</v>
      </c>
      <c r="F54" s="2">
        <v>44175</v>
      </c>
      <c r="G54" t="s">
        <v>26</v>
      </c>
      <c r="H54" t="s">
        <v>27</v>
      </c>
      <c r="I54" t="s">
        <v>20</v>
      </c>
      <c r="J54" s="2">
        <v>45394</v>
      </c>
      <c r="K54">
        <v>36863</v>
      </c>
      <c r="L54">
        <v>2000</v>
      </c>
      <c r="M54" t="s">
        <v>69</v>
      </c>
    </row>
    <row r="55" spans="1:13" x14ac:dyDescent="0.2">
      <c r="A55" s="1" t="s">
        <v>65</v>
      </c>
      <c r="B55" t="s">
        <v>66</v>
      </c>
      <c r="C55" t="s">
        <v>66</v>
      </c>
      <c r="D55" t="s">
        <v>67</v>
      </c>
      <c r="E55" t="s">
        <v>68</v>
      </c>
      <c r="F55" s="2">
        <v>44175</v>
      </c>
      <c r="G55" t="s">
        <v>26</v>
      </c>
      <c r="H55" t="s">
        <v>27</v>
      </c>
      <c r="I55" t="s">
        <v>20</v>
      </c>
      <c r="J55" s="2">
        <v>45424</v>
      </c>
      <c r="K55">
        <v>36868</v>
      </c>
      <c r="L55">
        <v>2500</v>
      </c>
      <c r="M55" t="s">
        <v>69</v>
      </c>
    </row>
    <row r="56" spans="1:13" x14ac:dyDescent="0.2">
      <c r="A56" s="1" t="s">
        <v>65</v>
      </c>
      <c r="B56" t="s">
        <v>66</v>
      </c>
      <c r="C56" t="s">
        <v>66</v>
      </c>
      <c r="D56" t="s">
        <v>67</v>
      </c>
      <c r="E56" t="s">
        <v>68</v>
      </c>
      <c r="F56" s="2">
        <v>44175</v>
      </c>
      <c r="G56" t="s">
        <v>26</v>
      </c>
      <c r="H56" t="s">
        <v>27</v>
      </c>
      <c r="I56" t="s">
        <v>20</v>
      </c>
      <c r="J56" s="2">
        <v>45455</v>
      </c>
      <c r="K56">
        <v>36872</v>
      </c>
      <c r="L56">
        <v>2000</v>
      </c>
      <c r="M56" t="s">
        <v>69</v>
      </c>
    </row>
    <row r="57" spans="1:13" x14ac:dyDescent="0.2">
      <c r="A57" s="1" t="s">
        <v>65</v>
      </c>
      <c r="B57" t="s">
        <v>66</v>
      </c>
      <c r="C57" t="s">
        <v>66</v>
      </c>
      <c r="D57" t="s">
        <v>67</v>
      </c>
      <c r="E57" t="s">
        <v>68</v>
      </c>
      <c r="F57" s="2">
        <v>44175</v>
      </c>
      <c r="G57" t="s">
        <v>26</v>
      </c>
      <c r="H57" t="s">
        <v>27</v>
      </c>
      <c r="I57" t="s">
        <v>20</v>
      </c>
      <c r="J57" s="2">
        <v>45485</v>
      </c>
      <c r="K57">
        <v>36877</v>
      </c>
      <c r="L57">
        <v>2500</v>
      </c>
      <c r="M57" t="s">
        <v>69</v>
      </c>
    </row>
    <row r="58" spans="1:13" x14ac:dyDescent="0.2">
      <c r="A58" s="1" t="s">
        <v>70</v>
      </c>
      <c r="B58" t="s">
        <v>71</v>
      </c>
      <c r="C58" t="s">
        <v>71</v>
      </c>
      <c r="D58" t="s">
        <v>72</v>
      </c>
      <c r="E58" t="s">
        <v>73</v>
      </c>
      <c r="F58" s="2">
        <v>45092</v>
      </c>
      <c r="G58" t="s">
        <v>33</v>
      </c>
      <c r="H58" t="s">
        <v>19</v>
      </c>
      <c r="I58" t="s">
        <v>20</v>
      </c>
      <c r="J58" s="2">
        <v>45299</v>
      </c>
      <c r="K58">
        <v>12980</v>
      </c>
      <c r="L58">
        <v>24000</v>
      </c>
      <c r="M58" t="s">
        <v>74</v>
      </c>
    </row>
    <row r="59" spans="1:13" x14ac:dyDescent="0.2">
      <c r="A59" s="1" t="s">
        <v>70</v>
      </c>
      <c r="B59" t="s">
        <v>71</v>
      </c>
      <c r="C59" t="s">
        <v>71</v>
      </c>
      <c r="D59" t="s">
        <v>72</v>
      </c>
      <c r="E59" t="s">
        <v>73</v>
      </c>
      <c r="F59" s="2">
        <v>45092</v>
      </c>
      <c r="G59" t="s">
        <v>33</v>
      </c>
      <c r="H59" t="s">
        <v>19</v>
      </c>
      <c r="I59" t="s">
        <v>20</v>
      </c>
      <c r="J59" s="2">
        <v>45330</v>
      </c>
      <c r="K59">
        <v>13028</v>
      </c>
      <c r="L59">
        <v>24000</v>
      </c>
      <c r="M59" t="s">
        <v>74</v>
      </c>
    </row>
    <row r="60" spans="1:13" x14ac:dyDescent="0.2">
      <c r="A60" s="1" t="s">
        <v>70</v>
      </c>
      <c r="B60" t="s">
        <v>71</v>
      </c>
      <c r="C60" t="s">
        <v>71</v>
      </c>
      <c r="D60" t="s">
        <v>72</v>
      </c>
      <c r="E60" t="s">
        <v>73</v>
      </c>
      <c r="F60" s="2">
        <v>45092</v>
      </c>
      <c r="G60" t="s">
        <v>33</v>
      </c>
      <c r="H60" t="s">
        <v>19</v>
      </c>
      <c r="I60" t="s">
        <v>20</v>
      </c>
      <c r="J60" s="2">
        <v>45359</v>
      </c>
      <c r="K60">
        <v>13078</v>
      </c>
      <c r="L60">
        <v>25000</v>
      </c>
      <c r="M60" t="s">
        <v>74</v>
      </c>
    </row>
    <row r="61" spans="1:13" x14ac:dyDescent="0.2">
      <c r="A61" s="1" t="s">
        <v>70</v>
      </c>
      <c r="B61" t="s">
        <v>71</v>
      </c>
      <c r="C61" t="s">
        <v>71</v>
      </c>
      <c r="D61" t="s">
        <v>72</v>
      </c>
      <c r="E61" t="s">
        <v>73</v>
      </c>
      <c r="F61" s="2">
        <v>45092</v>
      </c>
      <c r="G61" t="s">
        <v>33</v>
      </c>
      <c r="H61" t="s">
        <v>19</v>
      </c>
      <c r="I61" t="s">
        <v>20</v>
      </c>
      <c r="J61" s="2">
        <v>45390</v>
      </c>
      <c r="K61">
        <v>13126</v>
      </c>
      <c r="L61">
        <v>24000</v>
      </c>
      <c r="M61" t="s">
        <v>74</v>
      </c>
    </row>
    <row r="62" spans="1:13" x14ac:dyDescent="0.2">
      <c r="A62" s="1" t="s">
        <v>70</v>
      </c>
      <c r="B62" t="s">
        <v>71</v>
      </c>
      <c r="C62" t="s">
        <v>71</v>
      </c>
      <c r="D62" t="s">
        <v>72</v>
      </c>
      <c r="E62" t="s">
        <v>73</v>
      </c>
      <c r="F62" s="2">
        <v>45092</v>
      </c>
      <c r="G62" t="s">
        <v>33</v>
      </c>
      <c r="H62" t="s">
        <v>19</v>
      </c>
      <c r="I62" t="s">
        <v>20</v>
      </c>
      <c r="J62" s="2">
        <v>45420</v>
      </c>
      <c r="K62">
        <v>13176</v>
      </c>
      <c r="L62">
        <v>25000</v>
      </c>
      <c r="M62" t="s">
        <v>74</v>
      </c>
    </row>
    <row r="63" spans="1:13" x14ac:dyDescent="0.2">
      <c r="A63" s="1" t="s">
        <v>70</v>
      </c>
      <c r="B63" t="s">
        <v>71</v>
      </c>
      <c r="C63" t="s">
        <v>71</v>
      </c>
      <c r="D63" t="s">
        <v>72</v>
      </c>
      <c r="E63" t="s">
        <v>73</v>
      </c>
      <c r="F63" s="2">
        <v>45092</v>
      </c>
      <c r="G63" t="s">
        <v>33</v>
      </c>
      <c r="H63" t="s">
        <v>19</v>
      </c>
      <c r="I63" t="s">
        <v>20</v>
      </c>
      <c r="J63" s="2">
        <v>45451</v>
      </c>
      <c r="K63">
        <v>13224</v>
      </c>
      <c r="L63">
        <v>24000</v>
      </c>
      <c r="M63" t="s">
        <v>74</v>
      </c>
    </row>
    <row r="64" spans="1:13" x14ac:dyDescent="0.2">
      <c r="A64" s="1" t="s">
        <v>70</v>
      </c>
      <c r="B64" t="s">
        <v>71</v>
      </c>
      <c r="C64" t="s">
        <v>71</v>
      </c>
      <c r="D64" t="s">
        <v>72</v>
      </c>
      <c r="E64" t="s">
        <v>73</v>
      </c>
      <c r="F64" s="2">
        <v>45092</v>
      </c>
      <c r="G64" t="s">
        <v>33</v>
      </c>
      <c r="H64" t="s">
        <v>19</v>
      </c>
      <c r="I64" t="s">
        <v>20</v>
      </c>
      <c r="J64" s="2">
        <v>45481</v>
      </c>
      <c r="K64">
        <v>13274</v>
      </c>
      <c r="L64">
        <v>25000</v>
      </c>
      <c r="M64" t="s">
        <v>74</v>
      </c>
    </row>
    <row r="65" spans="1:13" x14ac:dyDescent="0.2">
      <c r="A65" s="1" t="s">
        <v>75</v>
      </c>
      <c r="B65" t="s">
        <v>76</v>
      </c>
      <c r="C65" t="s">
        <v>76</v>
      </c>
      <c r="D65" t="s">
        <v>77</v>
      </c>
      <c r="E65" t="s">
        <v>78</v>
      </c>
      <c r="F65" s="2">
        <v>44854</v>
      </c>
      <c r="G65" t="s">
        <v>18</v>
      </c>
      <c r="H65" t="s">
        <v>19</v>
      </c>
      <c r="I65" t="s">
        <v>20</v>
      </c>
      <c r="J65" s="2">
        <v>45313</v>
      </c>
      <c r="K65">
        <v>21750</v>
      </c>
      <c r="L65">
        <v>8000</v>
      </c>
      <c r="M65" t="s">
        <v>79</v>
      </c>
    </row>
    <row r="66" spans="1:13" x14ac:dyDescent="0.2">
      <c r="A66" s="1" t="s">
        <v>75</v>
      </c>
      <c r="B66" t="s">
        <v>76</v>
      </c>
      <c r="C66" t="s">
        <v>76</v>
      </c>
      <c r="D66" t="s">
        <v>77</v>
      </c>
      <c r="E66" t="s">
        <v>78</v>
      </c>
      <c r="F66" s="2">
        <v>44854</v>
      </c>
      <c r="G66" t="s">
        <v>18</v>
      </c>
      <c r="H66" t="s">
        <v>19</v>
      </c>
      <c r="I66" t="s">
        <v>20</v>
      </c>
      <c r="J66" s="2">
        <v>45344</v>
      </c>
      <c r="K66">
        <v>21766</v>
      </c>
      <c r="L66">
        <v>8000</v>
      </c>
      <c r="M66" t="s">
        <v>79</v>
      </c>
    </row>
    <row r="67" spans="1:13" x14ac:dyDescent="0.2">
      <c r="A67" s="1" t="s">
        <v>75</v>
      </c>
      <c r="B67" t="s">
        <v>76</v>
      </c>
      <c r="C67" t="s">
        <v>76</v>
      </c>
      <c r="D67" t="s">
        <v>77</v>
      </c>
      <c r="E67" t="s">
        <v>78</v>
      </c>
      <c r="F67" s="2">
        <v>44854</v>
      </c>
      <c r="G67" t="s">
        <v>18</v>
      </c>
      <c r="H67" t="s">
        <v>19</v>
      </c>
      <c r="I67" t="s">
        <v>20</v>
      </c>
      <c r="J67" s="2">
        <v>45373</v>
      </c>
      <c r="K67">
        <v>21784</v>
      </c>
      <c r="L67">
        <v>9000</v>
      </c>
      <c r="M67" t="s">
        <v>79</v>
      </c>
    </row>
    <row r="68" spans="1:13" x14ac:dyDescent="0.2">
      <c r="A68" s="1" t="s">
        <v>75</v>
      </c>
      <c r="B68" t="s">
        <v>76</v>
      </c>
      <c r="C68" t="s">
        <v>76</v>
      </c>
      <c r="D68" t="s">
        <v>77</v>
      </c>
      <c r="E68" t="s">
        <v>78</v>
      </c>
      <c r="F68" s="2">
        <v>44854</v>
      </c>
      <c r="G68" t="s">
        <v>18</v>
      </c>
      <c r="H68" t="s">
        <v>19</v>
      </c>
      <c r="I68" t="s">
        <v>20</v>
      </c>
      <c r="J68" s="2">
        <v>45404</v>
      </c>
      <c r="K68">
        <v>21800</v>
      </c>
      <c r="L68">
        <v>8000</v>
      </c>
      <c r="M68" t="s">
        <v>79</v>
      </c>
    </row>
    <row r="69" spans="1:13" x14ac:dyDescent="0.2">
      <c r="A69" s="1" t="s">
        <v>75</v>
      </c>
      <c r="B69" t="s">
        <v>76</v>
      </c>
      <c r="C69" t="s">
        <v>76</v>
      </c>
      <c r="D69" t="s">
        <v>77</v>
      </c>
      <c r="E69" t="s">
        <v>78</v>
      </c>
      <c r="F69" s="2">
        <v>44854</v>
      </c>
      <c r="G69" t="s">
        <v>18</v>
      </c>
      <c r="H69" t="s">
        <v>19</v>
      </c>
      <c r="I69" t="s">
        <v>20</v>
      </c>
      <c r="J69" s="2">
        <v>45434</v>
      </c>
      <c r="K69">
        <v>21818</v>
      </c>
      <c r="L69">
        <v>9000</v>
      </c>
      <c r="M69" t="s">
        <v>79</v>
      </c>
    </row>
    <row r="70" spans="1:13" x14ac:dyDescent="0.2">
      <c r="A70" s="1" t="s">
        <v>75</v>
      </c>
      <c r="B70" t="s">
        <v>76</v>
      </c>
      <c r="C70" t="s">
        <v>76</v>
      </c>
      <c r="D70" t="s">
        <v>77</v>
      </c>
      <c r="E70" t="s">
        <v>78</v>
      </c>
      <c r="F70" s="2">
        <v>44854</v>
      </c>
      <c r="G70" t="s">
        <v>18</v>
      </c>
      <c r="H70" t="s">
        <v>19</v>
      </c>
      <c r="I70" t="s">
        <v>20</v>
      </c>
      <c r="J70" s="2">
        <v>45465</v>
      </c>
      <c r="K70">
        <v>21834</v>
      </c>
      <c r="L70">
        <v>8000</v>
      </c>
      <c r="M70" t="s">
        <v>79</v>
      </c>
    </row>
    <row r="71" spans="1:13" x14ac:dyDescent="0.2">
      <c r="A71" s="1" t="s">
        <v>75</v>
      </c>
      <c r="B71" t="s">
        <v>76</v>
      </c>
      <c r="C71" t="s">
        <v>76</v>
      </c>
      <c r="D71" t="s">
        <v>77</v>
      </c>
      <c r="E71" t="s">
        <v>78</v>
      </c>
      <c r="F71" s="2">
        <v>44854</v>
      </c>
      <c r="G71" t="s">
        <v>18</v>
      </c>
      <c r="H71" t="s">
        <v>19</v>
      </c>
      <c r="I71" t="s">
        <v>20</v>
      </c>
      <c r="J71" s="2">
        <v>45495</v>
      </c>
      <c r="K71">
        <v>21852</v>
      </c>
      <c r="L71">
        <v>9000</v>
      </c>
      <c r="M71" t="s">
        <v>79</v>
      </c>
    </row>
    <row r="72" spans="1:13" x14ac:dyDescent="0.2">
      <c r="A72" s="1" t="s">
        <v>80</v>
      </c>
      <c r="B72" t="s">
        <v>81</v>
      </c>
      <c r="C72" t="s">
        <v>82</v>
      </c>
      <c r="D72" t="s">
        <v>83</v>
      </c>
      <c r="E72" t="s">
        <v>84</v>
      </c>
      <c r="F72" s="2">
        <v>44263</v>
      </c>
      <c r="G72" t="s">
        <v>26</v>
      </c>
      <c r="H72" t="s">
        <v>27</v>
      </c>
      <c r="I72" t="s">
        <v>20</v>
      </c>
      <c r="J72" s="2">
        <v>45305</v>
      </c>
      <c r="K72">
        <v>27920</v>
      </c>
      <c r="L72">
        <v>1500</v>
      </c>
      <c r="M72" t="s">
        <v>85</v>
      </c>
    </row>
    <row r="73" spans="1:13" x14ac:dyDescent="0.2">
      <c r="A73" s="1" t="s">
        <v>80</v>
      </c>
      <c r="B73" t="s">
        <v>81</v>
      </c>
      <c r="C73" t="s">
        <v>82</v>
      </c>
      <c r="D73" t="s">
        <v>83</v>
      </c>
      <c r="E73" t="s">
        <v>84</v>
      </c>
      <c r="F73" s="2">
        <v>44263</v>
      </c>
      <c r="G73" t="s">
        <v>26</v>
      </c>
      <c r="H73" t="s">
        <v>27</v>
      </c>
      <c r="I73" t="s">
        <v>20</v>
      </c>
      <c r="J73" s="2">
        <v>45336</v>
      </c>
      <c r="K73">
        <v>27923</v>
      </c>
      <c r="L73">
        <v>1500</v>
      </c>
      <c r="M73" t="s">
        <v>85</v>
      </c>
    </row>
    <row r="74" spans="1:13" x14ac:dyDescent="0.2">
      <c r="A74" s="1" t="s">
        <v>80</v>
      </c>
      <c r="B74" t="s">
        <v>81</v>
      </c>
      <c r="C74" t="s">
        <v>82</v>
      </c>
      <c r="D74" t="s">
        <v>83</v>
      </c>
      <c r="E74" t="s">
        <v>84</v>
      </c>
      <c r="F74" s="2">
        <v>44263</v>
      </c>
      <c r="G74" t="s">
        <v>26</v>
      </c>
      <c r="H74" t="s">
        <v>27</v>
      </c>
      <c r="I74" t="s">
        <v>20</v>
      </c>
      <c r="J74" s="2">
        <v>45365</v>
      </c>
      <c r="K74">
        <v>27927</v>
      </c>
      <c r="L74">
        <v>2000</v>
      </c>
      <c r="M74" t="s">
        <v>85</v>
      </c>
    </row>
    <row r="75" spans="1:13" x14ac:dyDescent="0.2">
      <c r="A75" s="1" t="s">
        <v>80</v>
      </c>
      <c r="B75" t="s">
        <v>81</v>
      </c>
      <c r="C75" t="s">
        <v>82</v>
      </c>
      <c r="D75" t="s">
        <v>83</v>
      </c>
      <c r="E75" t="s">
        <v>84</v>
      </c>
      <c r="F75" s="2">
        <v>44263</v>
      </c>
      <c r="G75" t="s">
        <v>26</v>
      </c>
      <c r="H75" t="s">
        <v>27</v>
      </c>
      <c r="I75" t="s">
        <v>20</v>
      </c>
      <c r="J75" s="2">
        <v>45396</v>
      </c>
      <c r="K75">
        <v>27930</v>
      </c>
      <c r="L75">
        <v>1500</v>
      </c>
      <c r="M75" t="s">
        <v>85</v>
      </c>
    </row>
    <row r="76" spans="1:13" x14ac:dyDescent="0.2">
      <c r="A76" s="1" t="s">
        <v>80</v>
      </c>
      <c r="B76" t="s">
        <v>81</v>
      </c>
      <c r="C76" t="s">
        <v>82</v>
      </c>
      <c r="D76" t="s">
        <v>83</v>
      </c>
      <c r="E76" t="s">
        <v>84</v>
      </c>
      <c r="F76" s="2">
        <v>44263</v>
      </c>
      <c r="G76" t="s">
        <v>26</v>
      </c>
      <c r="H76" t="s">
        <v>27</v>
      </c>
      <c r="I76" t="s">
        <v>20</v>
      </c>
      <c r="J76" s="2">
        <v>45426</v>
      </c>
      <c r="K76">
        <v>27934</v>
      </c>
      <c r="L76">
        <v>2000</v>
      </c>
      <c r="M76" t="s">
        <v>85</v>
      </c>
    </row>
    <row r="77" spans="1:13" x14ac:dyDescent="0.2">
      <c r="A77" s="1" t="s">
        <v>80</v>
      </c>
      <c r="B77" t="s">
        <v>81</v>
      </c>
      <c r="C77" t="s">
        <v>82</v>
      </c>
      <c r="D77" t="s">
        <v>83</v>
      </c>
      <c r="E77" t="s">
        <v>84</v>
      </c>
      <c r="F77" s="2">
        <v>44263</v>
      </c>
      <c r="G77" t="s">
        <v>26</v>
      </c>
      <c r="H77" t="s">
        <v>27</v>
      </c>
      <c r="I77" t="s">
        <v>20</v>
      </c>
      <c r="J77" s="2">
        <v>45457</v>
      </c>
      <c r="K77">
        <v>27937</v>
      </c>
      <c r="L77">
        <v>1500</v>
      </c>
      <c r="M77" t="s">
        <v>85</v>
      </c>
    </row>
    <row r="78" spans="1:13" x14ac:dyDescent="0.2">
      <c r="A78" s="1" t="s">
        <v>80</v>
      </c>
      <c r="B78" t="s">
        <v>81</v>
      </c>
      <c r="C78" t="s">
        <v>82</v>
      </c>
      <c r="D78" t="s">
        <v>83</v>
      </c>
      <c r="E78" t="s">
        <v>84</v>
      </c>
      <c r="F78" s="2">
        <v>44263</v>
      </c>
      <c r="G78" t="s">
        <v>26</v>
      </c>
      <c r="H78" t="s">
        <v>27</v>
      </c>
      <c r="I78" t="s">
        <v>20</v>
      </c>
      <c r="J78" s="2">
        <v>45487</v>
      </c>
      <c r="K78">
        <v>27941</v>
      </c>
      <c r="L78">
        <v>2000</v>
      </c>
      <c r="M78" t="s">
        <v>85</v>
      </c>
    </row>
    <row r="79" spans="1:13" x14ac:dyDescent="0.2">
      <c r="A79" s="1" t="s">
        <v>86</v>
      </c>
      <c r="B79" t="s">
        <v>87</v>
      </c>
      <c r="C79" t="s">
        <v>88</v>
      </c>
      <c r="D79" t="s">
        <v>89</v>
      </c>
      <c r="E79" t="s">
        <v>90</v>
      </c>
      <c r="F79" s="2">
        <v>45181</v>
      </c>
      <c r="G79" t="s">
        <v>33</v>
      </c>
      <c r="H79" t="s">
        <v>19</v>
      </c>
      <c r="I79" t="s">
        <v>20</v>
      </c>
      <c r="J79" s="2">
        <v>45294</v>
      </c>
      <c r="K79">
        <v>14250</v>
      </c>
      <c r="L79">
        <v>22000</v>
      </c>
      <c r="M79" t="s">
        <v>91</v>
      </c>
    </row>
    <row r="80" spans="1:13" x14ac:dyDescent="0.2">
      <c r="A80" s="1" t="s">
        <v>86</v>
      </c>
      <c r="B80" t="s">
        <v>87</v>
      </c>
      <c r="C80" t="s">
        <v>88</v>
      </c>
      <c r="D80" t="s">
        <v>89</v>
      </c>
      <c r="E80" t="s">
        <v>90</v>
      </c>
      <c r="F80" s="2">
        <v>45181</v>
      </c>
      <c r="G80" t="s">
        <v>33</v>
      </c>
      <c r="H80" t="s">
        <v>19</v>
      </c>
      <c r="I80" t="s">
        <v>20</v>
      </c>
      <c r="J80" s="2">
        <v>45325</v>
      </c>
      <c r="K80">
        <v>14294</v>
      </c>
      <c r="L80">
        <v>22000</v>
      </c>
      <c r="M80" t="s">
        <v>91</v>
      </c>
    </row>
    <row r="81" spans="1:14" x14ac:dyDescent="0.2">
      <c r="A81" s="1" t="s">
        <v>86</v>
      </c>
      <c r="B81" t="s">
        <v>87</v>
      </c>
      <c r="C81" t="s">
        <v>88</v>
      </c>
      <c r="D81" t="s">
        <v>89</v>
      </c>
      <c r="E81" t="s">
        <v>90</v>
      </c>
      <c r="F81" s="2">
        <v>45181</v>
      </c>
      <c r="G81" t="s">
        <v>33</v>
      </c>
      <c r="H81" t="s">
        <v>19</v>
      </c>
      <c r="I81" t="s">
        <v>20</v>
      </c>
      <c r="J81" s="2">
        <v>45354</v>
      </c>
      <c r="K81">
        <v>14341</v>
      </c>
      <c r="L81">
        <v>23500</v>
      </c>
      <c r="M81" t="s">
        <v>91</v>
      </c>
    </row>
    <row r="82" spans="1:14" x14ac:dyDescent="0.2">
      <c r="A82" s="1" t="s">
        <v>86</v>
      </c>
      <c r="B82" t="s">
        <v>87</v>
      </c>
      <c r="C82" t="s">
        <v>88</v>
      </c>
      <c r="D82" t="s">
        <v>89</v>
      </c>
      <c r="E82" t="s">
        <v>90</v>
      </c>
      <c r="F82" s="2">
        <v>45181</v>
      </c>
      <c r="G82" t="s">
        <v>33</v>
      </c>
      <c r="H82" t="s">
        <v>19</v>
      </c>
      <c r="I82" t="s">
        <v>20</v>
      </c>
      <c r="J82" s="2">
        <v>45385</v>
      </c>
      <c r="K82">
        <v>14385</v>
      </c>
      <c r="L82">
        <v>22000</v>
      </c>
      <c r="M82" t="s">
        <v>91</v>
      </c>
    </row>
    <row r="83" spans="1:14" x14ac:dyDescent="0.2">
      <c r="A83" s="1" t="s">
        <v>86</v>
      </c>
      <c r="B83" t="s">
        <v>87</v>
      </c>
      <c r="C83" t="s">
        <v>88</v>
      </c>
      <c r="D83" t="s">
        <v>89</v>
      </c>
      <c r="E83" t="s">
        <v>90</v>
      </c>
      <c r="F83" s="2">
        <v>45181</v>
      </c>
      <c r="G83" t="s">
        <v>33</v>
      </c>
      <c r="H83" t="s">
        <v>19</v>
      </c>
      <c r="I83" t="s">
        <v>20</v>
      </c>
      <c r="J83" s="2">
        <v>45415</v>
      </c>
      <c r="K83">
        <v>14432</v>
      </c>
      <c r="L83">
        <v>23500</v>
      </c>
      <c r="M83" t="s">
        <v>91</v>
      </c>
    </row>
    <row r="84" spans="1:14" x14ac:dyDescent="0.2">
      <c r="A84" s="1" t="s">
        <v>86</v>
      </c>
      <c r="B84" t="s">
        <v>87</v>
      </c>
      <c r="C84" t="s">
        <v>88</v>
      </c>
      <c r="D84" t="s">
        <v>89</v>
      </c>
      <c r="E84" t="s">
        <v>90</v>
      </c>
      <c r="F84" s="2">
        <v>45181</v>
      </c>
      <c r="G84" t="s">
        <v>33</v>
      </c>
      <c r="H84" t="s">
        <v>19</v>
      </c>
      <c r="I84" t="s">
        <v>20</v>
      </c>
      <c r="J84" s="2">
        <v>45446</v>
      </c>
      <c r="K84">
        <v>14476</v>
      </c>
      <c r="L84">
        <v>22000</v>
      </c>
      <c r="M84" t="s">
        <v>91</v>
      </c>
    </row>
    <row r="85" spans="1:14" x14ac:dyDescent="0.2">
      <c r="A85" s="1" t="s">
        <v>86</v>
      </c>
      <c r="B85" t="s">
        <v>87</v>
      </c>
      <c r="C85" t="s">
        <v>88</v>
      </c>
      <c r="D85" t="s">
        <v>89</v>
      </c>
      <c r="E85" t="s">
        <v>90</v>
      </c>
      <c r="F85" s="2">
        <v>45181</v>
      </c>
      <c r="G85" t="s">
        <v>33</v>
      </c>
      <c r="H85" t="s">
        <v>19</v>
      </c>
      <c r="I85" t="s">
        <v>20</v>
      </c>
      <c r="J85" s="2">
        <v>45476</v>
      </c>
      <c r="K85">
        <v>14523</v>
      </c>
      <c r="L85">
        <v>23500</v>
      </c>
      <c r="M85" t="s">
        <v>91</v>
      </c>
    </row>
    <row r="86" spans="1:14" x14ac:dyDescent="0.2">
      <c r="A86" s="1" t="s">
        <v>92</v>
      </c>
      <c r="B86" t="s">
        <v>93</v>
      </c>
      <c r="C86" t="s">
        <v>94</v>
      </c>
      <c r="D86" t="s">
        <v>95</v>
      </c>
      <c r="E86" t="s">
        <v>96</v>
      </c>
      <c r="F86" s="2">
        <v>43845</v>
      </c>
      <c r="G86" t="s">
        <v>18</v>
      </c>
      <c r="H86" t="s">
        <v>19</v>
      </c>
      <c r="I86" t="s">
        <v>20</v>
      </c>
      <c r="J86" s="2">
        <v>45319</v>
      </c>
      <c r="K86">
        <v>45120</v>
      </c>
      <c r="L86">
        <v>11000</v>
      </c>
      <c r="M86" t="s">
        <v>97</v>
      </c>
    </row>
    <row r="87" spans="1:14" x14ac:dyDescent="0.2">
      <c r="A87" s="1" t="s">
        <v>92</v>
      </c>
      <c r="B87" t="s">
        <v>93</v>
      </c>
      <c r="C87" t="s">
        <v>94</v>
      </c>
      <c r="D87" t="s">
        <v>95</v>
      </c>
      <c r="E87" t="s">
        <v>96</v>
      </c>
      <c r="F87" s="2">
        <v>43845</v>
      </c>
      <c r="G87" t="s">
        <v>18</v>
      </c>
      <c r="H87" t="s">
        <v>19</v>
      </c>
      <c r="I87" t="s">
        <v>20</v>
      </c>
      <c r="J87" s="2">
        <v>45350</v>
      </c>
      <c r="K87">
        <v>45142</v>
      </c>
      <c r="L87">
        <v>11000</v>
      </c>
      <c r="M87" t="s">
        <v>97</v>
      </c>
    </row>
    <row r="88" spans="1:14" x14ac:dyDescent="0.2">
      <c r="A88" s="1" t="s">
        <v>92</v>
      </c>
      <c r="B88" t="s">
        <v>93</v>
      </c>
      <c r="C88" t="s">
        <v>94</v>
      </c>
      <c r="D88" t="s">
        <v>95</v>
      </c>
      <c r="E88" t="s">
        <v>96</v>
      </c>
      <c r="F88" s="2">
        <v>43845</v>
      </c>
      <c r="G88" t="s">
        <v>18</v>
      </c>
      <c r="H88" t="s">
        <v>19</v>
      </c>
      <c r="I88" t="s">
        <v>20</v>
      </c>
      <c r="J88" s="2">
        <v>45379</v>
      </c>
      <c r="K88">
        <v>45166</v>
      </c>
      <c r="L88">
        <v>12000</v>
      </c>
      <c r="M88" t="s">
        <v>97</v>
      </c>
    </row>
    <row r="89" spans="1:14" x14ac:dyDescent="0.2">
      <c r="A89" s="1" t="s">
        <v>92</v>
      </c>
      <c r="B89" t="s">
        <v>93</v>
      </c>
      <c r="C89" t="s">
        <v>94</v>
      </c>
      <c r="D89" t="s">
        <v>95</v>
      </c>
      <c r="E89" t="s">
        <v>96</v>
      </c>
      <c r="F89" s="2">
        <v>43845</v>
      </c>
      <c r="G89" t="s">
        <v>18</v>
      </c>
      <c r="H89" t="s">
        <v>19</v>
      </c>
      <c r="I89" t="s">
        <v>20</v>
      </c>
      <c r="J89" s="2">
        <v>45410</v>
      </c>
      <c r="K89">
        <v>45188</v>
      </c>
      <c r="L89">
        <v>11000</v>
      </c>
      <c r="M89" t="s">
        <v>97</v>
      </c>
    </row>
    <row r="90" spans="1:14" x14ac:dyDescent="0.2">
      <c r="A90" s="1" t="s">
        <v>92</v>
      </c>
      <c r="B90" t="s">
        <v>93</v>
      </c>
      <c r="C90" t="s">
        <v>94</v>
      </c>
      <c r="D90" t="s">
        <v>95</v>
      </c>
      <c r="E90" t="s">
        <v>96</v>
      </c>
      <c r="F90" s="2">
        <v>43845</v>
      </c>
      <c r="G90" t="s">
        <v>18</v>
      </c>
      <c r="H90" t="s">
        <v>19</v>
      </c>
      <c r="I90" t="s">
        <v>20</v>
      </c>
      <c r="J90" s="2">
        <v>45440</v>
      </c>
      <c r="K90">
        <v>45212</v>
      </c>
      <c r="L90">
        <v>12000</v>
      </c>
      <c r="M90" t="s">
        <v>97</v>
      </c>
    </row>
    <row r="91" spans="1:14" x14ac:dyDescent="0.2">
      <c r="A91" s="1" t="s">
        <v>92</v>
      </c>
      <c r="B91" t="s">
        <v>93</v>
      </c>
      <c r="C91" t="s">
        <v>94</v>
      </c>
      <c r="D91" t="s">
        <v>95</v>
      </c>
      <c r="E91" t="s">
        <v>96</v>
      </c>
      <c r="F91" s="2">
        <v>43845</v>
      </c>
      <c r="G91" t="s">
        <v>18</v>
      </c>
      <c r="H91" t="s">
        <v>19</v>
      </c>
      <c r="I91" t="s">
        <v>20</v>
      </c>
      <c r="J91" s="2">
        <v>45471</v>
      </c>
      <c r="K91">
        <v>45228</v>
      </c>
      <c r="L91">
        <v>8000</v>
      </c>
      <c r="M91" t="s">
        <v>97</v>
      </c>
    </row>
    <row r="92" spans="1:14" x14ac:dyDescent="0.2">
      <c r="A92" s="1" t="s">
        <v>92</v>
      </c>
      <c r="B92" t="s">
        <v>93</v>
      </c>
      <c r="C92" t="s">
        <v>94</v>
      </c>
      <c r="D92" t="s">
        <v>95</v>
      </c>
      <c r="E92" t="s">
        <v>96</v>
      </c>
      <c r="F92" s="2">
        <v>43845</v>
      </c>
      <c r="G92" t="s">
        <v>18</v>
      </c>
      <c r="H92" t="s">
        <v>19</v>
      </c>
      <c r="I92" t="s">
        <v>20</v>
      </c>
      <c r="J92" s="2">
        <v>45501</v>
      </c>
      <c r="K92">
        <v>45252</v>
      </c>
      <c r="L92">
        <v>12000</v>
      </c>
      <c r="M92" t="s">
        <v>97</v>
      </c>
    </row>
    <row r="93" spans="1:14" x14ac:dyDescent="0.2">
      <c r="A93" s="1" t="s">
        <v>98</v>
      </c>
      <c r="B93" t="s">
        <v>99</v>
      </c>
      <c r="C93" t="s">
        <v>100</v>
      </c>
      <c r="D93" t="s">
        <v>101</v>
      </c>
      <c r="E93" t="s">
        <v>102</v>
      </c>
      <c r="F93" s="2">
        <v>44706</v>
      </c>
      <c r="G93" t="s">
        <v>26</v>
      </c>
      <c r="H93" t="s">
        <v>19</v>
      </c>
      <c r="I93" t="s">
        <v>20</v>
      </c>
      <c r="J93" s="2">
        <v>45297</v>
      </c>
      <c r="K93">
        <v>24620</v>
      </c>
      <c r="L93">
        <v>16500</v>
      </c>
      <c r="M93" t="s">
        <v>103</v>
      </c>
      <c r="N93" t="s">
        <v>104</v>
      </c>
    </row>
    <row r="94" spans="1:14" x14ac:dyDescent="0.2">
      <c r="A94" s="1" t="s">
        <v>98</v>
      </c>
      <c r="B94" t="s">
        <v>99</v>
      </c>
      <c r="C94" t="s">
        <v>100</v>
      </c>
      <c r="D94" t="s">
        <v>101</v>
      </c>
      <c r="E94" t="s">
        <v>102</v>
      </c>
      <c r="F94" s="2">
        <v>44706</v>
      </c>
      <c r="G94" t="s">
        <v>26</v>
      </c>
      <c r="H94" t="s">
        <v>19</v>
      </c>
      <c r="I94" t="s">
        <v>20</v>
      </c>
      <c r="J94" s="2">
        <v>45328</v>
      </c>
      <c r="K94">
        <v>24653</v>
      </c>
      <c r="L94">
        <v>16500</v>
      </c>
      <c r="M94" t="s">
        <v>103</v>
      </c>
    </row>
    <row r="95" spans="1:14" x14ac:dyDescent="0.2">
      <c r="A95" s="1" t="s">
        <v>98</v>
      </c>
      <c r="B95" t="s">
        <v>99</v>
      </c>
      <c r="C95" t="s">
        <v>100</v>
      </c>
      <c r="D95" t="s">
        <v>101</v>
      </c>
      <c r="E95" t="s">
        <v>102</v>
      </c>
      <c r="F95" s="2">
        <v>44706</v>
      </c>
      <c r="G95" t="s">
        <v>26</v>
      </c>
      <c r="H95" t="s">
        <v>19</v>
      </c>
      <c r="I95" t="s">
        <v>20</v>
      </c>
      <c r="J95" s="2">
        <v>45357</v>
      </c>
      <c r="K95">
        <v>24687</v>
      </c>
      <c r="L95">
        <v>17000</v>
      </c>
      <c r="M95" t="s">
        <v>103</v>
      </c>
    </row>
    <row r="96" spans="1:14" x14ac:dyDescent="0.2">
      <c r="A96" s="1" t="s">
        <v>98</v>
      </c>
      <c r="B96" t="s">
        <v>99</v>
      </c>
      <c r="C96" t="s">
        <v>100</v>
      </c>
      <c r="D96" t="s">
        <v>101</v>
      </c>
      <c r="E96" t="s">
        <v>102</v>
      </c>
      <c r="F96" s="2">
        <v>44706</v>
      </c>
      <c r="G96" t="s">
        <v>26</v>
      </c>
      <c r="H96" t="s">
        <v>19</v>
      </c>
      <c r="I96" t="s">
        <v>20</v>
      </c>
      <c r="J96" s="2">
        <v>45388</v>
      </c>
      <c r="K96">
        <v>24720</v>
      </c>
      <c r="L96">
        <v>16500</v>
      </c>
      <c r="M96" t="s">
        <v>103</v>
      </c>
    </row>
    <row r="97" spans="1:14" x14ac:dyDescent="0.2">
      <c r="A97" s="1" t="s">
        <v>98</v>
      </c>
      <c r="B97" t="s">
        <v>99</v>
      </c>
      <c r="C97" t="s">
        <v>100</v>
      </c>
      <c r="D97" t="s">
        <v>101</v>
      </c>
      <c r="E97" t="s">
        <v>102</v>
      </c>
      <c r="F97" s="2">
        <v>44706</v>
      </c>
      <c r="G97" t="s">
        <v>26</v>
      </c>
      <c r="H97" t="s">
        <v>19</v>
      </c>
      <c r="I97" t="s">
        <v>20</v>
      </c>
      <c r="J97" s="2">
        <v>45418</v>
      </c>
      <c r="K97">
        <v>24754</v>
      </c>
      <c r="L97">
        <v>17000</v>
      </c>
      <c r="M97" t="s">
        <v>103</v>
      </c>
    </row>
    <row r="98" spans="1:14" x14ac:dyDescent="0.2">
      <c r="A98" s="1" t="s">
        <v>98</v>
      </c>
      <c r="B98" t="s">
        <v>99</v>
      </c>
      <c r="C98" t="s">
        <v>100</v>
      </c>
      <c r="D98" t="s">
        <v>101</v>
      </c>
      <c r="E98" t="s">
        <v>102</v>
      </c>
      <c r="F98" s="2">
        <v>44706</v>
      </c>
      <c r="G98" t="s">
        <v>26</v>
      </c>
      <c r="H98" t="s">
        <v>19</v>
      </c>
      <c r="I98" t="s">
        <v>20</v>
      </c>
      <c r="J98" s="2">
        <v>45449</v>
      </c>
      <c r="K98">
        <v>24787</v>
      </c>
      <c r="L98">
        <v>16500</v>
      </c>
      <c r="M98" t="s">
        <v>103</v>
      </c>
    </row>
    <row r="99" spans="1:14" x14ac:dyDescent="0.2">
      <c r="A99" s="1" t="s">
        <v>98</v>
      </c>
      <c r="B99" t="s">
        <v>99</v>
      </c>
      <c r="C99" t="s">
        <v>100</v>
      </c>
      <c r="D99" t="s">
        <v>101</v>
      </c>
      <c r="E99" t="s">
        <v>102</v>
      </c>
      <c r="F99" s="2">
        <v>44706</v>
      </c>
      <c r="G99" t="s">
        <v>26</v>
      </c>
      <c r="H99" t="s">
        <v>19</v>
      </c>
      <c r="I99" t="s">
        <v>20</v>
      </c>
      <c r="J99" s="2">
        <v>45479</v>
      </c>
      <c r="K99">
        <v>24750</v>
      </c>
      <c r="L99">
        <v>-8500</v>
      </c>
      <c r="M99" t="s">
        <v>103</v>
      </c>
      <c r="N99" t="s">
        <v>105</v>
      </c>
    </row>
    <row r="100" spans="1:14" x14ac:dyDescent="0.2">
      <c r="A100" s="1" t="s">
        <v>106</v>
      </c>
      <c r="B100" t="s">
        <v>107</v>
      </c>
      <c r="C100" t="s">
        <v>108</v>
      </c>
      <c r="D100" t="s">
        <v>109</v>
      </c>
      <c r="E100" t="s">
        <v>110</v>
      </c>
      <c r="F100" s="2">
        <v>44438</v>
      </c>
      <c r="G100" t="s">
        <v>18</v>
      </c>
      <c r="H100" t="s">
        <v>19</v>
      </c>
      <c r="I100" t="s">
        <v>20</v>
      </c>
      <c r="J100" s="2">
        <v>45307</v>
      </c>
      <c r="K100">
        <v>33180</v>
      </c>
      <c r="L100">
        <v>9000</v>
      </c>
      <c r="M100" t="s">
        <v>111</v>
      </c>
    </row>
    <row r="101" spans="1:14" x14ac:dyDescent="0.2">
      <c r="A101" s="1" t="s">
        <v>106</v>
      </c>
      <c r="B101" t="s">
        <v>107</v>
      </c>
      <c r="C101" t="s">
        <v>108</v>
      </c>
      <c r="D101" t="s">
        <v>109</v>
      </c>
      <c r="E101" t="s">
        <v>110</v>
      </c>
      <c r="F101" s="2">
        <v>44438</v>
      </c>
      <c r="G101" t="s">
        <v>18</v>
      </c>
      <c r="H101" t="s">
        <v>19</v>
      </c>
      <c r="I101" t="s">
        <v>20</v>
      </c>
      <c r="J101" s="2">
        <v>45338</v>
      </c>
      <c r="K101">
        <v>33198</v>
      </c>
      <c r="L101">
        <v>9000</v>
      </c>
      <c r="M101" t="s">
        <v>111</v>
      </c>
    </row>
    <row r="102" spans="1:14" x14ac:dyDescent="0.2">
      <c r="A102" s="1" t="s">
        <v>106</v>
      </c>
      <c r="B102" t="s">
        <v>107</v>
      </c>
      <c r="C102" t="s">
        <v>108</v>
      </c>
      <c r="D102" t="s">
        <v>109</v>
      </c>
      <c r="E102" t="s">
        <v>110</v>
      </c>
      <c r="F102" s="2">
        <v>44438</v>
      </c>
      <c r="G102" t="s">
        <v>18</v>
      </c>
      <c r="H102" t="s">
        <v>19</v>
      </c>
      <c r="I102" t="s">
        <v>20</v>
      </c>
      <c r="J102" s="2">
        <v>45367</v>
      </c>
      <c r="K102">
        <v>33218</v>
      </c>
      <c r="L102">
        <v>10000</v>
      </c>
      <c r="M102" t="s">
        <v>111</v>
      </c>
    </row>
    <row r="103" spans="1:14" x14ac:dyDescent="0.2">
      <c r="A103" s="1" t="s">
        <v>106</v>
      </c>
      <c r="B103" t="s">
        <v>107</v>
      </c>
      <c r="C103" t="s">
        <v>108</v>
      </c>
      <c r="D103" t="s">
        <v>109</v>
      </c>
      <c r="E103" t="s">
        <v>110</v>
      </c>
      <c r="F103" s="2">
        <v>44438</v>
      </c>
      <c r="G103" t="s">
        <v>18</v>
      </c>
      <c r="H103" t="s">
        <v>19</v>
      </c>
      <c r="I103" t="s">
        <v>20</v>
      </c>
      <c r="J103" s="2">
        <v>45398</v>
      </c>
      <c r="K103">
        <v>33236</v>
      </c>
      <c r="L103">
        <v>9000</v>
      </c>
      <c r="M103" t="s">
        <v>111</v>
      </c>
    </row>
    <row r="104" spans="1:14" x14ac:dyDescent="0.2">
      <c r="A104" s="1" t="s">
        <v>106</v>
      </c>
      <c r="B104" t="s">
        <v>107</v>
      </c>
      <c r="C104" t="s">
        <v>108</v>
      </c>
      <c r="D104" t="s">
        <v>109</v>
      </c>
      <c r="E104" t="s">
        <v>110</v>
      </c>
      <c r="F104" s="2">
        <v>44438</v>
      </c>
      <c r="G104" t="s">
        <v>18</v>
      </c>
      <c r="H104" t="s">
        <v>19</v>
      </c>
      <c r="I104" t="s">
        <v>20</v>
      </c>
      <c r="J104" s="2">
        <v>45428</v>
      </c>
      <c r="K104">
        <v>33256</v>
      </c>
      <c r="L104">
        <v>10000</v>
      </c>
      <c r="M104" t="s">
        <v>111</v>
      </c>
    </row>
    <row r="105" spans="1:14" x14ac:dyDescent="0.2">
      <c r="A105" s="1" t="s">
        <v>106</v>
      </c>
      <c r="B105" t="s">
        <v>107</v>
      </c>
      <c r="C105" t="s">
        <v>108</v>
      </c>
      <c r="D105" t="s">
        <v>109</v>
      </c>
      <c r="E105" t="s">
        <v>110</v>
      </c>
      <c r="F105" s="2">
        <v>44438</v>
      </c>
      <c r="G105" t="s">
        <v>18</v>
      </c>
      <c r="H105" t="s">
        <v>19</v>
      </c>
      <c r="I105" t="s">
        <v>20</v>
      </c>
      <c r="J105" s="2">
        <v>45459</v>
      </c>
      <c r="K105">
        <v>33274</v>
      </c>
      <c r="L105">
        <v>9000</v>
      </c>
      <c r="M105" t="s">
        <v>111</v>
      </c>
    </row>
    <row r="106" spans="1:14" x14ac:dyDescent="0.2">
      <c r="A106" s="1" t="s">
        <v>106</v>
      </c>
      <c r="B106" t="s">
        <v>107</v>
      </c>
      <c r="C106" t="s">
        <v>108</v>
      </c>
      <c r="D106" t="s">
        <v>109</v>
      </c>
      <c r="E106" t="s">
        <v>110</v>
      </c>
      <c r="F106" s="2">
        <v>44438</v>
      </c>
      <c r="G106" t="s">
        <v>18</v>
      </c>
      <c r="H106" t="s">
        <v>19</v>
      </c>
      <c r="I106" t="s">
        <v>20</v>
      </c>
      <c r="J106" s="2">
        <v>45489</v>
      </c>
      <c r="K106">
        <v>33294</v>
      </c>
      <c r="L106">
        <v>10000</v>
      </c>
      <c r="M106" t="s">
        <v>111</v>
      </c>
    </row>
  </sheetData>
  <autoFilter ref="A1:N106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BDDA-D718-4D9E-9199-6EE74ADFEE53}">
  <dimension ref="A1:N59"/>
  <sheetViews>
    <sheetView workbookViewId="0">
      <selection activeCell="O10" sqref="O10"/>
    </sheetView>
  </sheetViews>
  <sheetFormatPr baseColWidth="10" defaultRowHeight="12.75" x14ac:dyDescent="0.2"/>
  <cols>
    <col min="1" max="1" width="21.140625" bestFit="1" customWidth="1"/>
    <col min="2" max="2" width="20.7109375" bestFit="1" customWidth="1"/>
    <col min="3" max="3" width="23.140625" bestFit="1" customWidth="1"/>
    <col min="4" max="4" width="23.42578125" bestFit="1" customWidth="1"/>
    <col min="5" max="5" width="13.140625" bestFit="1" customWidth="1"/>
    <col min="6" max="6" width="13.140625" customWidth="1"/>
    <col min="7" max="7" width="13.140625" bestFit="1" customWidth="1"/>
    <col min="8" max="8" width="6" bestFit="1" customWidth="1"/>
    <col min="9" max="9" width="7.7109375" bestFit="1" customWidth="1"/>
    <col min="10" max="101" width="6" bestFit="1" customWidth="1"/>
    <col min="102" max="102" width="13.140625" bestFit="1" customWidth="1"/>
  </cols>
  <sheetData>
    <row r="1" spans="1:9" x14ac:dyDescent="0.2">
      <c r="A1" s="6" t="s">
        <v>8</v>
      </c>
      <c r="B1" t="s">
        <v>20</v>
      </c>
    </row>
    <row r="2" spans="1:9" x14ac:dyDescent="0.2">
      <c r="A2" s="6" t="s">
        <v>13</v>
      </c>
      <c r="B2" t="s">
        <v>122</v>
      </c>
    </row>
    <row r="4" spans="1:9" x14ac:dyDescent="0.2">
      <c r="A4" s="6" t="s">
        <v>113</v>
      </c>
      <c r="B4" t="s">
        <v>120</v>
      </c>
      <c r="C4" t="s">
        <v>117</v>
      </c>
      <c r="D4" t="s">
        <v>115</v>
      </c>
    </row>
    <row r="5" spans="1:9" x14ac:dyDescent="0.2">
      <c r="A5" s="13" t="s">
        <v>71</v>
      </c>
      <c r="B5" s="9">
        <v>7</v>
      </c>
      <c r="C5" s="15">
        <v>91886</v>
      </c>
      <c r="D5" s="14">
        <v>171000</v>
      </c>
    </row>
    <row r="6" spans="1:9" x14ac:dyDescent="0.2">
      <c r="A6" s="7" t="s">
        <v>87</v>
      </c>
      <c r="B6" s="9">
        <v>7</v>
      </c>
      <c r="C6" s="9">
        <v>100701</v>
      </c>
      <c r="D6" s="9">
        <v>158500</v>
      </c>
    </row>
    <row r="7" spans="1:9" x14ac:dyDescent="0.2">
      <c r="A7" s="7" t="s">
        <v>40</v>
      </c>
      <c r="B7" s="9">
        <v>7</v>
      </c>
      <c r="C7" s="9">
        <v>214965</v>
      </c>
      <c r="D7" s="9">
        <v>22500</v>
      </c>
    </row>
    <row r="8" spans="1:9" x14ac:dyDescent="0.2">
      <c r="A8" s="7" t="s">
        <v>66</v>
      </c>
      <c r="B8" s="9">
        <v>7</v>
      </c>
      <c r="C8" s="9">
        <v>258043</v>
      </c>
      <c r="D8" s="9">
        <v>15500</v>
      </c>
    </row>
    <row r="9" spans="1:9" x14ac:dyDescent="0.2">
      <c r="A9" s="7" t="s">
        <v>23</v>
      </c>
      <c r="B9" s="9">
        <v>7</v>
      </c>
      <c r="C9" s="9">
        <v>237974</v>
      </c>
      <c r="D9" s="9">
        <v>19000</v>
      </c>
    </row>
    <row r="10" spans="1:9" x14ac:dyDescent="0.2">
      <c r="A10" s="7" t="s">
        <v>99</v>
      </c>
      <c r="B10" s="9">
        <v>5</v>
      </c>
      <c r="C10" s="9">
        <v>123601</v>
      </c>
      <c r="D10" s="9">
        <v>83500</v>
      </c>
      <c r="G10" s="16">
        <f>MEDIAN(D5:D18)</f>
        <v>62500</v>
      </c>
      <c r="I10" s="17">
        <f>AVERAGE(D5:D18)</f>
        <v>68321.428571428565</v>
      </c>
    </row>
    <row r="11" spans="1:9" x14ac:dyDescent="0.2">
      <c r="A11" s="7" t="s">
        <v>76</v>
      </c>
      <c r="B11" s="9">
        <v>7</v>
      </c>
      <c r="C11" s="9">
        <v>152604</v>
      </c>
      <c r="D11" s="9">
        <v>59000</v>
      </c>
    </row>
    <row r="12" spans="1:9" x14ac:dyDescent="0.2">
      <c r="A12" s="7" t="s">
        <v>60</v>
      </c>
      <c r="B12" s="9">
        <v>7</v>
      </c>
      <c r="C12" s="9">
        <v>115714</v>
      </c>
      <c r="D12" s="9">
        <v>129000</v>
      </c>
    </row>
    <row r="13" spans="1:9" x14ac:dyDescent="0.2">
      <c r="A13" s="7" t="s">
        <v>107</v>
      </c>
      <c r="B13" s="9">
        <v>7</v>
      </c>
      <c r="C13" s="9">
        <v>232656</v>
      </c>
      <c r="D13" s="9">
        <v>66000</v>
      </c>
    </row>
    <row r="14" spans="1:9" x14ac:dyDescent="0.2">
      <c r="A14" s="7" t="s">
        <v>30</v>
      </c>
      <c r="B14" s="9">
        <v>4</v>
      </c>
      <c r="C14" s="9">
        <v>63766</v>
      </c>
      <c r="D14" s="9">
        <v>56000</v>
      </c>
    </row>
    <row r="15" spans="1:9" x14ac:dyDescent="0.2">
      <c r="A15" s="7" t="s">
        <v>93</v>
      </c>
      <c r="B15" s="9">
        <v>7</v>
      </c>
      <c r="C15" s="9">
        <v>316308</v>
      </c>
      <c r="D15" s="9">
        <v>77000</v>
      </c>
    </row>
    <row r="16" spans="1:9" x14ac:dyDescent="0.2">
      <c r="A16" s="13" t="s">
        <v>15</v>
      </c>
      <c r="B16" s="9">
        <v>7</v>
      </c>
      <c r="C16" s="14">
        <v>335363</v>
      </c>
      <c r="D16" s="15">
        <v>69000</v>
      </c>
    </row>
    <row r="17" spans="1:4" x14ac:dyDescent="0.2">
      <c r="A17" s="7" t="s">
        <v>81</v>
      </c>
      <c r="B17" s="9">
        <v>7</v>
      </c>
      <c r="C17" s="9">
        <v>195512</v>
      </c>
      <c r="D17" s="9">
        <v>12000</v>
      </c>
    </row>
    <row r="18" spans="1:4" x14ac:dyDescent="0.2">
      <c r="A18" s="7" t="s">
        <v>55</v>
      </c>
      <c r="B18" s="9">
        <v>7</v>
      </c>
      <c r="C18" s="9">
        <v>165662</v>
      </c>
      <c r="D18" s="9">
        <v>18500</v>
      </c>
    </row>
    <row r="19" spans="1:4" x14ac:dyDescent="0.2">
      <c r="A19" s="7" t="s">
        <v>114</v>
      </c>
      <c r="B19" s="9">
        <v>93</v>
      </c>
      <c r="C19" s="9">
        <v>2604755</v>
      </c>
      <c r="D19" s="9">
        <v>956500</v>
      </c>
    </row>
    <row r="24" spans="1:4" x14ac:dyDescent="0.2">
      <c r="A24" s="6" t="s">
        <v>113</v>
      </c>
      <c r="B24" t="s">
        <v>118</v>
      </c>
      <c r="C24" t="s">
        <v>117</v>
      </c>
      <c r="D24" t="s">
        <v>115</v>
      </c>
    </row>
    <row r="25" spans="1:4" x14ac:dyDescent="0.2">
      <c r="A25" s="7" t="s">
        <v>19</v>
      </c>
      <c r="B25" s="9">
        <v>70</v>
      </c>
      <c r="C25" s="9">
        <v>1762507</v>
      </c>
      <c r="D25" s="9">
        <v>897000</v>
      </c>
    </row>
    <row r="26" spans="1:4" x14ac:dyDescent="0.2">
      <c r="A26" s="7" t="s">
        <v>27</v>
      </c>
      <c r="B26" s="9">
        <v>35</v>
      </c>
      <c r="C26" s="9">
        <v>1072156</v>
      </c>
      <c r="D26" s="9">
        <v>87500</v>
      </c>
    </row>
    <row r="27" spans="1:4" x14ac:dyDescent="0.2">
      <c r="A27" s="7" t="s">
        <v>114</v>
      </c>
      <c r="B27" s="9">
        <v>105</v>
      </c>
      <c r="C27" s="9">
        <v>2834663</v>
      </c>
      <c r="D27" s="9">
        <v>984500</v>
      </c>
    </row>
    <row r="31" spans="1:4" x14ac:dyDescent="0.2">
      <c r="A31" s="6" t="s">
        <v>113</v>
      </c>
      <c r="B31" t="s">
        <v>119</v>
      </c>
      <c r="C31" t="s">
        <v>117</v>
      </c>
      <c r="D31" t="s">
        <v>115</v>
      </c>
    </row>
    <row r="32" spans="1:4" x14ac:dyDescent="0.2">
      <c r="A32" s="7" t="s">
        <v>20</v>
      </c>
      <c r="B32" s="8">
        <v>96</v>
      </c>
      <c r="C32" s="9">
        <v>2670109</v>
      </c>
      <c r="D32" s="9">
        <v>982500</v>
      </c>
    </row>
    <row r="33" spans="1:14" x14ac:dyDescent="0.2">
      <c r="A33" s="7" t="s">
        <v>50</v>
      </c>
      <c r="B33" s="8">
        <v>7</v>
      </c>
      <c r="C33" s="9">
        <v>132660</v>
      </c>
      <c r="D33" s="9">
        <v>1000</v>
      </c>
    </row>
    <row r="34" spans="1:14" x14ac:dyDescent="0.2">
      <c r="A34" s="7" t="s">
        <v>35</v>
      </c>
      <c r="B34" s="8">
        <v>2</v>
      </c>
      <c r="C34" s="9">
        <v>31894</v>
      </c>
      <c r="D34" s="9">
        <v>1000</v>
      </c>
    </row>
    <row r="35" spans="1:14" x14ac:dyDescent="0.2">
      <c r="A35" s="7" t="s">
        <v>114</v>
      </c>
      <c r="B35" s="8">
        <v>105</v>
      </c>
      <c r="C35" s="9">
        <v>2834663</v>
      </c>
      <c r="D35" s="9">
        <v>984500</v>
      </c>
    </row>
    <row r="40" spans="1:14" x14ac:dyDescent="0.2">
      <c r="A40" s="6" t="s">
        <v>119</v>
      </c>
      <c r="B40" s="6" t="s">
        <v>116</v>
      </c>
    </row>
    <row r="41" spans="1:14" x14ac:dyDescent="0.2">
      <c r="A41" s="6" t="s">
        <v>113</v>
      </c>
      <c r="B41" t="s">
        <v>20</v>
      </c>
      <c r="C41" t="s">
        <v>50</v>
      </c>
      <c r="D41" t="s">
        <v>35</v>
      </c>
      <c r="E41" t="s">
        <v>114</v>
      </c>
    </row>
    <row r="42" spans="1:14" x14ac:dyDescent="0.2">
      <c r="A42" s="7" t="s">
        <v>104</v>
      </c>
      <c r="B42" s="8">
        <v>1</v>
      </c>
      <c r="C42" s="8"/>
      <c r="D42" s="8"/>
      <c r="E42" s="8">
        <v>1</v>
      </c>
      <c r="F42" s="8"/>
    </row>
    <row r="43" spans="1:14" x14ac:dyDescent="0.2">
      <c r="A43" s="7" t="s">
        <v>105</v>
      </c>
      <c r="B43" s="8">
        <v>1</v>
      </c>
      <c r="C43" s="8"/>
      <c r="D43" s="8"/>
      <c r="E43" s="8">
        <v>1</v>
      </c>
      <c r="F43" s="8"/>
    </row>
    <row r="44" spans="1:14" x14ac:dyDescent="0.2">
      <c r="A44" s="7" t="s">
        <v>52</v>
      </c>
      <c r="B44" s="8"/>
      <c r="C44" s="8">
        <v>6</v>
      </c>
      <c r="D44" s="8"/>
      <c r="E44" s="8">
        <v>6</v>
      </c>
      <c r="F44" s="8"/>
      <c r="N44" s="5" t="s">
        <v>112</v>
      </c>
    </row>
    <row r="45" spans="1:14" x14ac:dyDescent="0.2">
      <c r="A45" s="7" t="s">
        <v>36</v>
      </c>
      <c r="B45" s="8"/>
      <c r="C45" s="8"/>
      <c r="D45" s="8">
        <v>1</v>
      </c>
      <c r="E45" s="8">
        <v>1</v>
      </c>
      <c r="F45" s="8"/>
    </row>
    <row r="46" spans="1:14" x14ac:dyDescent="0.2">
      <c r="A46" s="7" t="s">
        <v>38</v>
      </c>
      <c r="B46" s="8">
        <v>1</v>
      </c>
      <c r="C46" s="8"/>
      <c r="D46" s="8"/>
      <c r="E46" s="8">
        <v>1</v>
      </c>
      <c r="F46" s="8"/>
    </row>
    <row r="47" spans="1:14" x14ac:dyDescent="0.2">
      <c r="A47" s="7" t="s">
        <v>37</v>
      </c>
      <c r="B47" s="8"/>
      <c r="C47" s="8"/>
      <c r="D47" s="8">
        <v>1</v>
      </c>
      <c r="E47" s="8">
        <v>1</v>
      </c>
      <c r="F47" s="8"/>
    </row>
    <row r="48" spans="1:14" x14ac:dyDescent="0.2">
      <c r="A48" s="7" t="s">
        <v>53</v>
      </c>
      <c r="B48" s="8"/>
      <c r="C48" s="8">
        <v>1</v>
      </c>
      <c r="D48" s="8"/>
      <c r="E48" s="8">
        <v>1</v>
      </c>
      <c r="F48" s="8"/>
    </row>
    <row r="49" spans="1:6" x14ac:dyDescent="0.2">
      <c r="A49" s="7" t="s">
        <v>114</v>
      </c>
      <c r="B49" s="8">
        <v>3</v>
      </c>
      <c r="C49" s="8">
        <v>7</v>
      </c>
      <c r="D49" s="8">
        <v>2</v>
      </c>
      <c r="E49" s="8">
        <v>12</v>
      </c>
      <c r="F49" s="8"/>
    </row>
    <row r="55" spans="1:6" x14ac:dyDescent="0.2">
      <c r="A55" s="6" t="s">
        <v>113</v>
      </c>
      <c r="B55" t="s">
        <v>121</v>
      </c>
      <c r="C55" t="s">
        <v>117</v>
      </c>
      <c r="D55" t="s">
        <v>115</v>
      </c>
    </row>
    <row r="56" spans="1:6" x14ac:dyDescent="0.2">
      <c r="A56" s="7" t="s">
        <v>26</v>
      </c>
      <c r="B56" s="8">
        <v>35</v>
      </c>
      <c r="C56" s="9">
        <v>997160</v>
      </c>
      <c r="D56" s="9">
        <v>139000</v>
      </c>
    </row>
    <row r="57" spans="1:6" x14ac:dyDescent="0.2">
      <c r="A57" s="10" t="s">
        <v>18</v>
      </c>
      <c r="B57" s="8">
        <v>42</v>
      </c>
      <c r="C57" s="11">
        <v>1417558</v>
      </c>
      <c r="D57" s="12">
        <v>312000</v>
      </c>
    </row>
    <row r="58" spans="1:6" x14ac:dyDescent="0.2">
      <c r="A58" s="10" t="s">
        <v>33</v>
      </c>
      <c r="B58" s="8">
        <v>28</v>
      </c>
      <c r="C58" s="12">
        <v>419945</v>
      </c>
      <c r="D58" s="11">
        <v>533500</v>
      </c>
    </row>
    <row r="59" spans="1:6" x14ac:dyDescent="0.2">
      <c r="A59" s="7" t="s">
        <v>114</v>
      </c>
      <c r="B59" s="8">
        <v>105</v>
      </c>
      <c r="C59" s="9">
        <v>2834663</v>
      </c>
      <c r="D59" s="9">
        <v>984500</v>
      </c>
    </row>
  </sheetData>
  <conditionalFormatting pivot="1" sqref="B5:D18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{46257612-5EA5-4119-9055-62DD1B11F0DC}</x14:id>
        </ext>
      </extLst>
    </cfRule>
  </conditionalFormatting>
  <conditionalFormatting pivot="1" sqref="B25:D2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{0C310356-2536-4D95-A967-26AECFD9C7F7}</x14:id>
        </ext>
      </extLst>
    </cfRule>
  </conditionalFormatting>
  <conditionalFormatting pivot="1" sqref="B32:D34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{DA58A4F5-5660-441E-8129-991A6A43E950}</x14:id>
        </ext>
      </extLst>
    </cfRule>
  </conditionalFormatting>
  <conditionalFormatting pivot="1" sqref="B56:D58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{B7881F7B-5769-4724-A8BF-DAC2D1BFBFD7}</x14:id>
        </ext>
      </extLst>
    </cfRule>
  </conditionalFormatting>
  <conditionalFormatting pivot="1" sqref="B42:D48">
    <cfRule type="cellIs" dxfId="17" priority="1" operator="greater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46257612-5EA5-4119-9055-62DD1B11F0D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B5:D18</xm:sqref>
        </x14:conditionalFormatting>
        <x14:conditionalFormatting xmlns:xm="http://schemas.microsoft.com/office/excel/2006/main" pivot="1">
          <x14:cfRule type="dataBar" id="{0C310356-2536-4D95-A967-26AECFD9C7F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B25:D26</xm:sqref>
        </x14:conditionalFormatting>
        <x14:conditionalFormatting xmlns:xm="http://schemas.microsoft.com/office/excel/2006/main" pivot="1">
          <x14:cfRule type="dataBar" id="{DA58A4F5-5660-441E-8129-991A6A43E9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B32:D34</xm:sqref>
        </x14:conditionalFormatting>
        <x14:conditionalFormatting xmlns:xm="http://schemas.microsoft.com/office/excel/2006/main" pivot="1">
          <x14:cfRule type="dataBar" id="{B7881F7B-5769-4724-A8BF-DAC2D1BFBFD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B56:D58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A49C-334C-4C41-8A67-3D1DA02F389B}">
  <dimension ref="A1:A16"/>
  <sheetViews>
    <sheetView workbookViewId="0">
      <selection activeCell="A2" sqref="A2:A16"/>
    </sheetView>
  </sheetViews>
  <sheetFormatPr baseColWidth="10" defaultRowHeight="12.75" x14ac:dyDescent="0.2"/>
  <cols>
    <col min="1" max="1" width="27.28515625" bestFit="1" customWidth="1"/>
  </cols>
  <sheetData>
    <row r="1" spans="1:1" x14ac:dyDescent="0.2">
      <c r="A1" t="s">
        <v>0</v>
      </c>
    </row>
    <row r="2" spans="1:1" x14ac:dyDescent="0.2">
      <c r="A2" t="s">
        <v>14</v>
      </c>
    </row>
    <row r="3" spans="1:1" x14ac:dyDescent="0.2">
      <c r="A3" t="s">
        <v>22</v>
      </c>
    </row>
    <row r="4" spans="1:1" x14ac:dyDescent="0.2">
      <c r="A4" t="s">
        <v>29</v>
      </c>
    </row>
    <row r="5" spans="1:1" x14ac:dyDescent="0.2">
      <c r="A5" t="s">
        <v>39</v>
      </c>
    </row>
    <row r="6" spans="1:1" x14ac:dyDescent="0.2">
      <c r="A6" t="s">
        <v>45</v>
      </c>
    </row>
    <row r="7" spans="1:1" x14ac:dyDescent="0.2">
      <c r="A7" t="s">
        <v>54</v>
      </c>
    </row>
    <row r="8" spans="1:1" x14ac:dyDescent="0.2">
      <c r="A8" t="s">
        <v>59</v>
      </c>
    </row>
    <row r="9" spans="1:1" x14ac:dyDescent="0.2">
      <c r="A9" t="s">
        <v>65</v>
      </c>
    </row>
    <row r="10" spans="1:1" x14ac:dyDescent="0.2">
      <c r="A10" t="s">
        <v>70</v>
      </c>
    </row>
    <row r="11" spans="1:1" x14ac:dyDescent="0.2">
      <c r="A11" t="s">
        <v>75</v>
      </c>
    </row>
    <row r="12" spans="1:1" x14ac:dyDescent="0.2">
      <c r="A12" t="s">
        <v>80</v>
      </c>
    </row>
    <row r="13" spans="1:1" x14ac:dyDescent="0.2">
      <c r="A13" t="s">
        <v>86</v>
      </c>
    </row>
    <row r="14" spans="1:1" x14ac:dyDescent="0.2">
      <c r="A14" t="s">
        <v>92</v>
      </c>
    </row>
    <row r="15" spans="1:1" x14ac:dyDescent="0.2">
      <c r="A15" t="s">
        <v>98</v>
      </c>
    </row>
    <row r="16" spans="1:1" x14ac:dyDescent="0.2">
      <c r="A16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readings</vt:lpstr>
      <vt:lpstr>Feuil1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ALEX</dc:creator>
  <cp:lastModifiedBy>Mr ALEX</cp:lastModifiedBy>
  <dcterms:created xsi:type="dcterms:W3CDTF">2025-08-16T03:30:03Z</dcterms:created>
  <dcterms:modified xsi:type="dcterms:W3CDTF">2025-08-18T01:06:27Z</dcterms:modified>
</cp:coreProperties>
</file>